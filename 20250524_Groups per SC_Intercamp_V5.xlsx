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hidePivotFieldList="1" autoCompressPictures="0"/>
  <mc:AlternateContent xmlns:mc="http://schemas.openxmlformats.org/markup-compatibility/2006">
    <mc:Choice Requires="x15">
      <x15ac:absPath xmlns:x15ac="http://schemas.microsoft.com/office/spreadsheetml/2010/11/ac" url="C:\__VYVOJ__\IntercampMichaniSkupin\"/>
    </mc:Choice>
  </mc:AlternateContent>
  <xr:revisionPtr revIDLastSave="0" documentId="13_ncr:1_{1235B3ED-438E-4081-92FF-EDED7383973B}" xr6:coauthVersionLast="47" xr6:coauthVersionMax="47" xr10:uidLastSave="{00000000-0000-0000-0000-000000000000}"/>
  <bookViews>
    <workbookView xWindow="6750" yWindow="2235" windowWidth="21600" windowHeight="11295" tabRatio="500" xr2:uid="{00000000-000D-0000-FFFF-FFFF00000000}"/>
  </bookViews>
  <sheets>
    <sheet name="All Subcamps" sheetId="1" r:id="rId1"/>
    <sheet name="Subcamp 1" sheetId="6" r:id="rId2"/>
    <sheet name="Subcamp 2" sheetId="7" r:id="rId3"/>
    <sheet name="Subcamp 3" sheetId="8" r:id="rId4"/>
    <sheet name="Subcamp 4" sheetId="9" r:id="rId5"/>
    <sheet name="Sheet2" sheetId="3" state="hidden" r:id="rId6"/>
    <sheet name=" Nations" sheetId="2" r:id="rId7"/>
    <sheet name="Subcamp calculation" sheetId="5" r:id="rId8"/>
  </sheet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2" l="1"/>
  <c r="F16" i="2"/>
  <c r="F17" i="2"/>
  <c r="F14" i="2"/>
  <c r="E15" i="2"/>
  <c r="E16" i="2"/>
  <c r="E17" i="2"/>
  <c r="E14" i="2"/>
  <c r="F5" i="2"/>
  <c r="F6" i="2"/>
  <c r="F7" i="2"/>
  <c r="F8" i="2"/>
  <c r="F9" i="2"/>
  <c r="F10" i="2"/>
  <c r="F11" i="2"/>
  <c r="E5" i="2"/>
  <c r="E6" i="2"/>
  <c r="E7" i="2"/>
  <c r="E8" i="2"/>
  <c r="E9" i="2"/>
  <c r="E10" i="2"/>
  <c r="E11" i="2"/>
  <c r="F4" i="2"/>
  <c r="E4" i="2"/>
  <c r="A2" i="9" a="1"/>
  <c r="A2" i="9" s="1"/>
  <c r="A2" i="8" a="1"/>
  <c r="A2" i="8" s="1"/>
  <c r="A2" i="7" a="1"/>
  <c r="A2" i="7" s="1"/>
  <c r="A2" i="6" a="1"/>
  <c r="A2" i="6" s="1"/>
  <c r="B7" i="5"/>
  <c r="B9" i="3"/>
  <c r="A9" i="3"/>
  <c r="C9" i="3" s="1"/>
  <c r="H12" i="2"/>
  <c r="G16" i="2" l="1"/>
  <c r="L16" i="2" s="1"/>
  <c r="L35" i="9"/>
  <c r="M35" i="9"/>
  <c r="G4" i="2"/>
  <c r="G5" i="2"/>
  <c r="G14" i="2"/>
  <c r="L14" i="2" s="1"/>
  <c r="G15" i="2"/>
  <c r="L15" i="2" s="1"/>
  <c r="G9" i="2"/>
  <c r="G7" i="2"/>
  <c r="G11" i="2"/>
  <c r="E20" i="2"/>
  <c r="G10" i="2"/>
  <c r="G8" i="2"/>
  <c r="J8" i="2" s="1"/>
  <c r="F20" i="2"/>
  <c r="G17" i="2"/>
  <c r="L17" i="2" s="1"/>
  <c r="G6" i="2"/>
  <c r="J6" i="2" s="1"/>
  <c r="L59" i="8"/>
  <c r="M59" i="8"/>
  <c r="L31" i="6"/>
  <c r="G20" i="2" l="1"/>
  <c r="L8" i="2"/>
  <c r="L6" i="2"/>
  <c r="L4" i="2"/>
  <c r="J4" i="2"/>
  <c r="C7" i="5"/>
  <c r="N59" i="8"/>
  <c r="L10" i="2"/>
  <c r="J10" i="2"/>
  <c r="L12" i="2"/>
  <c r="L11" i="2"/>
  <c r="J11" i="2"/>
  <c r="J9" i="2"/>
  <c r="L9" i="2"/>
  <c r="J5" i="2"/>
  <c r="L5" i="2"/>
  <c r="J7" i="2"/>
  <c r="L7" i="2"/>
  <c r="C3" i="5" l="1"/>
  <c r="C5" i="5"/>
  <c r="C6" i="5"/>
  <c r="C4" i="5"/>
  <c r="J12" i="2"/>
  <c r="J13" i="2" s="1"/>
  <c r="M58" i="7" s="1"/>
  <c r="L58" i="7" s="1"/>
  <c r="M31" i="6" s="1"/>
  <c r="N35" i="9" l="1"/>
  <c r="D6" i="5" s="1"/>
  <c r="N58" i="7"/>
  <c r="D4" i="5" s="1"/>
  <c r="N31" i="6"/>
  <c r="D3" i="5" s="1"/>
  <c r="D5" i="5"/>
  <c r="E7" i="5"/>
  <c r="D7"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<sst xmlns="http://schemas.openxmlformats.org/spreadsheetml/2006/main" count="2335" uniqueCount="1193">
  <si>
    <t>No</t>
  </si>
  <si>
    <t>First name</t>
  </si>
  <si>
    <t>Last name</t>
  </si>
  <si>
    <t>Email</t>
  </si>
  <si>
    <t>Mobile phone</t>
  </si>
  <si>
    <t>Invoice details</t>
  </si>
  <si>
    <t>Country</t>
  </si>
  <si>
    <t>Scout Association</t>
  </si>
  <si>
    <t>Troop name</t>
  </si>
  <si>
    <t>Troop organisation number</t>
  </si>
  <si>
    <t>City</t>
  </si>
  <si>
    <t>Number of Children</t>
  </si>
  <si>
    <t>Number of Leaders</t>
  </si>
  <si>
    <t>Arrival day</t>
  </si>
  <si>
    <t>Arrival time</t>
  </si>
  <si>
    <t>Departure day</t>
  </si>
  <si>
    <t>Departure time</t>
  </si>
  <si>
    <t>Further remarks (optional)</t>
  </si>
  <si>
    <t>Order Number</t>
  </si>
  <si>
    <t>Total Costs</t>
  </si>
  <si>
    <t>Payment Type</t>
  </si>
  <si>
    <t>Registration time</t>
  </si>
  <si>
    <t>Additional registrants</t>
  </si>
  <si>
    <t>Comments RJ:</t>
  </si>
  <si>
    <t>Arno</t>
  </si>
  <si>
    <t>Bottema</t>
  </si>
  <si>
    <t>arno@scoutingmeerhoven.nl</t>
  </si>
  <si>
    <t>+31622250254</t>
  </si>
  <si>
    <t>The Netherlands</t>
  </si>
  <si>
    <t>Scouting Nederland</t>
  </si>
  <si>
    <t>Sc.Burg.Welschen Meerhoven</t>
  </si>
  <si>
    <t>Eindhoven</t>
  </si>
  <si>
    <t>Friday</t>
  </si>
  <si>
    <t>12:00 - 15:00</t>
  </si>
  <si>
    <t>Monday</t>
  </si>
  <si>
    <t>IST-90673</t>
  </si>
  <si>
    <t>Mollie</t>
  </si>
  <si>
    <t>2024-11-30 18:58:34</t>
  </si>
  <si>
    <t>Frans</t>
  </si>
  <si>
    <t>Lenders</t>
  </si>
  <si>
    <t>franslenders@home.nl</t>
  </si>
  <si>
    <t>+31621857140</t>
  </si>
  <si>
    <t>St. Rumoldus</t>
  </si>
  <si>
    <t>Weert</t>
  </si>
  <si>
    <t>IST-75688</t>
  </si>
  <si>
    <t>2024-11-30 19:07:13</t>
  </si>
  <si>
    <t>van As</t>
  </si>
  <si>
    <t>arno.van.as@hotmail.com</t>
  </si>
  <si>
    <t>+31628679230</t>
  </si>
  <si>
    <t>Scouting Ewijk</t>
  </si>
  <si>
    <t>Ewijk</t>
  </si>
  <si>
    <t>IST-97382</t>
  </si>
  <si>
    <t>2024-11-30 19:11:58</t>
  </si>
  <si>
    <t>Ricardo</t>
  </si>
  <si>
    <t>Laurens</t>
  </si>
  <si>
    <t>r.laurens.1995@gmail.com</t>
  </si>
  <si>
    <t>+31621642397</t>
  </si>
  <si>
    <t>St.Scouting Saffatin Maurik</t>
  </si>
  <si>
    <t>Maurik</t>
  </si>
  <si>
    <t>IST-85959</t>
  </si>
  <si>
    <t>2024-11-30 19:14:24</t>
  </si>
  <si>
    <t>Bob</t>
  </si>
  <si>
    <t>Lelieveld</t>
  </si>
  <si>
    <t>boblelieveld@gmail.com</t>
  </si>
  <si>
    <t>+31627145802</t>
  </si>
  <si>
    <t>Scouting Uotha</t>
  </si>
  <si>
    <t>Uden</t>
  </si>
  <si>
    <t>IST-11233</t>
  </si>
  <si>
    <t>2024-11-30 19:30:16</t>
  </si>
  <si>
    <t>Juriaan</t>
  </si>
  <si>
    <t>Adams</t>
  </si>
  <si>
    <t>juriaan.adams@scoutingamby.nl</t>
  </si>
  <si>
    <t>+31621685513</t>
  </si>
  <si>
    <t>Intercamp Nederland</t>
  </si>
  <si>
    <t>Sittard</t>
  </si>
  <si>
    <t>IST-70768</t>
  </si>
  <si>
    <t>2024-11-30 19:38:53</t>
  </si>
  <si>
    <t>Eric-Jan</t>
  </si>
  <si>
    <t>Grondstra</t>
  </si>
  <si>
    <t>e.j.grondstra@gmail.com</t>
  </si>
  <si>
    <t>+31621504255</t>
  </si>
  <si>
    <t>Scouting Polaris</t>
  </si>
  <si>
    <t>Heereveen</t>
  </si>
  <si>
    <t>IST-19148</t>
  </si>
  <si>
    <t>2024-11-30 19:42:53</t>
  </si>
  <si>
    <t>Peter</t>
  </si>
  <si>
    <t>de Graag</t>
  </si>
  <si>
    <t>peterdegraag@hotmail.com</t>
  </si>
  <si>
    <t>+31683644415</t>
  </si>
  <si>
    <t>Marnix van Sint Aldegonde</t>
  </si>
  <si>
    <t>Vlaardingen</t>
  </si>
  <si>
    <t>IST-15785</t>
  </si>
  <si>
    <t>2024-11-30 19:45:35</t>
  </si>
  <si>
    <t>Nieuwenhuys</t>
  </si>
  <si>
    <t>f.nieuwenhuys@gmail.com</t>
  </si>
  <si>
    <t>+31646337186</t>
  </si>
  <si>
    <t>Scouting St. Martinus</t>
  </si>
  <si>
    <t>Zaltbommel</t>
  </si>
  <si>
    <t>IST-21266</t>
  </si>
  <si>
    <t>2024-11-30 19:48:36</t>
  </si>
  <si>
    <t>Gun</t>
  </si>
  <si>
    <t>Holtackers</t>
  </si>
  <si>
    <t>gun@hubovra.nl</t>
  </si>
  <si>
    <t>+31622090428</t>
  </si>
  <si>
    <t>Scouting Hubovra</t>
  </si>
  <si>
    <t>IST-10618</t>
  </si>
  <si>
    <t>2024-11-30 19:50:43</t>
  </si>
  <si>
    <t>Doortje</t>
  </si>
  <si>
    <t>Tiedink</t>
  </si>
  <si>
    <t>Doortjetiedink1@icloud.com</t>
  </si>
  <si>
    <t>+31628184483</t>
  </si>
  <si>
    <t>Scouting Groessen</t>
  </si>
  <si>
    <t>Groessen</t>
  </si>
  <si>
    <t>IST-13152</t>
  </si>
  <si>
    <t>2024-11-30 19:55:52</t>
  </si>
  <si>
    <t>Joey</t>
  </si>
  <si>
    <t>Gelissen</t>
  </si>
  <si>
    <t>joeygelissen@outlook.com</t>
  </si>
  <si>
    <t>+31645816844</t>
  </si>
  <si>
    <t>Scouting St. Martinus Beek</t>
  </si>
  <si>
    <t>Beek (L)</t>
  </si>
  <si>
    <t>15:00 - 18:00</t>
  </si>
  <si>
    <t>IST-10208</t>
  </si>
  <si>
    <t>2024-11-30 19:59:14</t>
  </si>
  <si>
    <t>Jorn</t>
  </si>
  <si>
    <t>Weijs</t>
  </si>
  <si>
    <t>jorn.weijs1997@live.nl</t>
  </si>
  <si>
    <t>+31620385792</t>
  </si>
  <si>
    <t>De Peelspeurders</t>
  </si>
  <si>
    <t>Venray</t>
  </si>
  <si>
    <t>IST-27230</t>
  </si>
  <si>
    <t>2024-11-30 20:01:30</t>
  </si>
  <si>
    <t>Anniek</t>
  </si>
  <si>
    <t>van den Hurk</t>
  </si>
  <si>
    <t>+31611335004</t>
  </si>
  <si>
    <t>St. Stanislaus</t>
  </si>
  <si>
    <t>Culemborg</t>
  </si>
  <si>
    <t>IST-49187</t>
  </si>
  <si>
    <t>2024-11-30 20:03:58</t>
  </si>
  <si>
    <t>Luuk</t>
  </si>
  <si>
    <t>Philipsen</t>
  </si>
  <si>
    <t>luukphilipsen8@gmail.com</t>
  </si>
  <si>
    <t>+31631525507</t>
  </si>
  <si>
    <t>Scoutinggroep de Meuleberg</t>
  </si>
  <si>
    <t>Blitterswijck</t>
  </si>
  <si>
    <t>IST-17335</t>
  </si>
  <si>
    <t>2024-11-30 20:06:25</t>
  </si>
  <si>
    <t>Vladimir</t>
  </si>
  <si>
    <t>Bilek</t>
  </si>
  <si>
    <t>v.bilek@email.cz</t>
  </si>
  <si>
    <t>+352621277044</t>
  </si>
  <si>
    <t>same as above</t>
  </si>
  <si>
    <t>Guests</t>
  </si>
  <si>
    <t>Telstar scouts international</t>
  </si>
  <si>
    <t>Luxembourg</t>
  </si>
  <si>
    <t>18:00 - 21:00</t>
  </si>
  <si>
    <t>09:00 - 12:00</t>
  </si>
  <si>
    <t>IST-23477</t>
  </si>
  <si>
    <t>2024-11-30 23:10:24</t>
  </si>
  <si>
    <t>Christopher</t>
  </si>
  <si>
    <t>Wait</t>
  </si>
  <si>
    <t>waitchris0103@gmail.com</t>
  </si>
  <si>
    <t>+420777216228</t>
  </si>
  <si>
    <t>1st Prague (Czech Republic) Scout Group z.s. – British Scouting Overseas  Pod pekárnami 251/4, Vysočany, 190 00 Praha 9  ICO: 04755057</t>
  </si>
  <si>
    <t>Choose...</t>
  </si>
  <si>
    <t>1st Prague Scouts</t>
  </si>
  <si>
    <t>04755057</t>
  </si>
  <si>
    <t>Prague</t>
  </si>
  <si>
    <t>IST-11133</t>
  </si>
  <si>
    <t>2024-11-30 23:10:31</t>
  </si>
  <si>
    <t>Nigel</t>
  </si>
  <si>
    <t>Fleetwood</t>
  </si>
  <si>
    <t>agsl2-6thgosport@gosportscouts.org.uk</t>
  </si>
  <si>
    <t>+447812674516</t>
  </si>
  <si>
    <t>6th Gosport Air Scout Group</t>
  </si>
  <si>
    <t>6th</t>
  </si>
  <si>
    <t>Gosport</t>
  </si>
  <si>
    <t>2024-11-30 23:11:03</t>
  </si>
  <si>
    <t>Caroline</t>
  </si>
  <si>
    <t>Pintsch</t>
  </si>
  <si>
    <t>caroline@pintsch.de</t>
  </si>
  <si>
    <t>+4915786783461</t>
  </si>
  <si>
    <t>Germany</t>
  </si>
  <si>
    <t>Deutsche Pfadfinderschaft Sankt Georg</t>
  </si>
  <si>
    <t>DPSG Stamm Alzenau</t>
  </si>
  <si>
    <t>Alzenau</t>
  </si>
  <si>
    <t>2024-11-30 23:13:25</t>
  </si>
  <si>
    <t>Jonas</t>
  </si>
  <si>
    <t>Spinczyk</t>
  </si>
  <si>
    <t>Jonas.spinczyk@rdp-bund.de</t>
  </si>
  <si>
    <t>+491621979714</t>
  </si>
  <si>
    <t>DPSG Kempen</t>
  </si>
  <si>
    <t>01/02/12</t>
  </si>
  <si>
    <t>Kempen</t>
  </si>
  <si>
    <t>We need one more scout leader, because of a disabled participant.</t>
  </si>
  <si>
    <t>2024-11-30 23:17:00</t>
  </si>
  <si>
    <t>Des</t>
  </si>
  <si>
    <t>Mahon</t>
  </si>
  <si>
    <t>des.mahon@arrowscouts.org.uk</t>
  </si>
  <si>
    <t>+447809149414</t>
  </si>
  <si>
    <t>Des Mahon 3rd Chandlers Ford Scouts  Arrow District</t>
  </si>
  <si>
    <t>British Guides In Foreign Countrys</t>
  </si>
  <si>
    <t>3rd Chandler’s Ford</t>
  </si>
  <si>
    <t>3rd</t>
  </si>
  <si>
    <t>Chandler’s Ford</t>
  </si>
  <si>
    <t>Partnering with 1st Prague Scouts as we are sharing equipment</t>
  </si>
  <si>
    <t>2024-11-30 23:26:03</t>
  </si>
  <si>
    <t>Robin</t>
  </si>
  <si>
    <t>Bandini</t>
  </si>
  <si>
    <t>vorstand@pfadfinder-bammental.de</t>
  </si>
  <si>
    <t>+491627911091</t>
  </si>
  <si>
    <t>Stamm Karl Leisner</t>
  </si>
  <si>
    <t>Bammental</t>
  </si>
  <si>
    <t>2024-11-30 23:33:26</t>
  </si>
  <si>
    <t>Sebastian</t>
  </si>
  <si>
    <t>Kiwitt</t>
  </si>
  <si>
    <t>s-kiwitt@outlook.de</t>
  </si>
  <si>
    <t>+4917622228294</t>
  </si>
  <si>
    <t>Sebastian Kiwitt DPSG Stamm St. Viktor Xanten Schwarzer Weg 10 46509 Xanten</t>
  </si>
  <si>
    <t>DPSG Stamm St. Viktor Xanten</t>
  </si>
  <si>
    <t>Xanten</t>
  </si>
  <si>
    <t>We need more Leeders, because we come with two Leeder by Car and the  others with the Kids by Train. And I think Four Leeders with 27 Kids is not so safety. I hope this is Ok for you. Thank you. Best regards Sebastian</t>
  </si>
  <si>
    <t>2024-11-30 23:36:13</t>
  </si>
  <si>
    <t>Martin</t>
  </si>
  <si>
    <t>Babst</t>
  </si>
  <si>
    <t>martin.babst@web.de</t>
  </si>
  <si>
    <t>+4915126957577</t>
  </si>
  <si>
    <t>Maximilan Kolbe Lammersdorf</t>
  </si>
  <si>
    <t>010607</t>
  </si>
  <si>
    <t>Aachen</t>
  </si>
  <si>
    <t>2024-12-01 00:20:50</t>
  </si>
  <si>
    <t>Daniela</t>
  </si>
  <si>
    <t>Kouril</t>
  </si>
  <si>
    <t>daniela@cityscouts.org</t>
  </si>
  <si>
    <t>+491605807584</t>
  </si>
  <si>
    <t>Falls Julia vom Dorp dieses Jahr in einem Subcampteam ist, möchten wir gerne in ihr Subcamp. Sie ist Leiterin in unserem Stamm.</t>
  </si>
  <si>
    <t>Stamm Cityscouts</t>
  </si>
  <si>
    <t>010304</t>
  </si>
  <si>
    <t>Mönchengladbach</t>
  </si>
  <si>
    <t>2024-12-01 00:21:33</t>
  </si>
  <si>
    <t>Jan</t>
  </si>
  <si>
    <t>Van den Brakel</t>
  </si>
  <si>
    <t>jbrl@cbs.nl</t>
  </si>
  <si>
    <t>+31</t>
  </si>
  <si>
    <t>I will pay via banktransfer.</t>
  </si>
  <si>
    <t>St Nikolaus Gangelt</t>
  </si>
  <si>
    <t>010403</t>
  </si>
  <si>
    <t>Gangelt</t>
  </si>
  <si>
    <t>WE need four leaders for transportation.</t>
  </si>
  <si>
    <t>IST-41645</t>
  </si>
  <si>
    <t>2024-12-01 09:32:32</t>
  </si>
  <si>
    <t>Mattie</t>
  </si>
  <si>
    <t>Coolen</t>
  </si>
  <si>
    <t>mattie.coolen@bluewin.ch</t>
  </si>
  <si>
    <t>+41792585330</t>
  </si>
  <si>
    <t>United States</t>
  </si>
  <si>
    <t>Boy Scouts of America - Transatlantic Council</t>
  </si>
  <si>
    <t>Troop 681 Basel</t>
  </si>
  <si>
    <t>0681</t>
  </si>
  <si>
    <t>Basel</t>
  </si>
  <si>
    <t>We have 4 Adults signed up as we need drivers for our scouts and the equipment.  We have one additional Adult, Andrew Wright &lt;andrewwright675@btinternet.com&gt;. For the past two Intercamps, Andrew served in the TAC trading post. At the moment it is not clear that the trading post will be at Intercamp or if he will be asked to serve. However, he would like to attend the event and we are willing to host him. He will be traveling from and to Basel with us.</t>
  </si>
  <si>
    <t>IST-19768</t>
  </si>
  <si>
    <t>2024-12-01 10:01:44</t>
  </si>
  <si>
    <t>Payment link sent</t>
  </si>
  <si>
    <t>Katharina</t>
  </si>
  <si>
    <t>Wenderott</t>
  </si>
  <si>
    <t>k.wenderott@paderborn.com</t>
  </si>
  <si>
    <t>+4915750634181</t>
  </si>
  <si>
    <t>Pastoralbüro An St. Marien DPSG Phönix Bonn Heerstraße 128 53111 Bonn  lea@dpsg-phoenix.net</t>
  </si>
  <si>
    <t>DPSG Phönix Bonn</t>
  </si>
  <si>
    <t>10/12/03</t>
  </si>
  <si>
    <t>Bonn</t>
  </si>
  <si>
    <t>IST-13423</t>
  </si>
  <si>
    <t>2024-12-01 12:09:38</t>
  </si>
  <si>
    <t>Pfadfinder Erkelenz</t>
  </si>
  <si>
    <t>010413</t>
  </si>
  <si>
    <t>Erkelenz</t>
  </si>
  <si>
    <t>IST-17411</t>
  </si>
  <si>
    <t>2024-12-01 12:15:33</t>
  </si>
  <si>
    <t>Jonathan</t>
  </si>
  <si>
    <t>Copner</t>
  </si>
  <si>
    <t>jon.copner@britishscoutingoverseas.org.uk</t>
  </si>
  <si>
    <t>+32</t>
  </si>
  <si>
    <t>Grootveldlaan 12, 3080 Tervuren, Belgium</t>
  </si>
  <si>
    <t>Belgium</t>
  </si>
  <si>
    <t>Brussels Explorers</t>
  </si>
  <si>
    <t>FOS111</t>
  </si>
  <si>
    <t>Tervuren</t>
  </si>
  <si>
    <t>3 leaders - 3 vehicles required</t>
  </si>
  <si>
    <t>IST-95976</t>
  </si>
  <si>
    <t>2024-12-01 12:56:03</t>
  </si>
  <si>
    <t>Sarah</t>
  </si>
  <si>
    <t>Parks</t>
  </si>
  <si>
    <t>parks.sarah@gmail.com</t>
  </si>
  <si>
    <t>+4915151847115</t>
  </si>
  <si>
    <t>Girl Scouts of the USA</t>
  </si>
  <si>
    <t>Stuttgart</t>
  </si>
  <si>
    <t>IST-87889</t>
  </si>
  <si>
    <t>2024-12-01 13:57:29</t>
  </si>
  <si>
    <t>Alyson</t>
  </si>
  <si>
    <t>Thompson</t>
  </si>
  <si>
    <t>alysonmthompson@gmail.com</t>
  </si>
  <si>
    <t>+1</t>
  </si>
  <si>
    <t>1920G- Boy Scouts of America</t>
  </si>
  <si>
    <t>1920G</t>
  </si>
  <si>
    <t>Ramstein AB</t>
  </si>
  <si>
    <t>This is a female troop, so I am requesting attendance for the scoutmaster (male), assistant scoutmaster (male), and a female adult.</t>
  </si>
  <si>
    <t>IST-64029</t>
  </si>
  <si>
    <t>2024-12-01 18:15:56</t>
  </si>
  <si>
    <t>Need to pay for 6 extra scouts</t>
  </si>
  <si>
    <t>Joseph</t>
  </si>
  <si>
    <t>Monk</t>
  </si>
  <si>
    <t>joe.monk@britishscoutingoverseas.org.uk</t>
  </si>
  <si>
    <t>+32484266960</t>
  </si>
  <si>
    <t>FOS Open Scouting</t>
  </si>
  <si>
    <t>Central Brussels Scouts</t>
  </si>
  <si>
    <t>112e</t>
  </si>
  <si>
    <t>Brussels</t>
  </si>
  <si>
    <t>21:00 - 00:00</t>
  </si>
  <si>
    <t>Arrival and Departure times are estimates.  2 additional Scouters needed due to logistical requirements to transport youth and equipment.</t>
  </si>
  <si>
    <t>IST-18979</t>
  </si>
  <si>
    <t>2024-12-02 09:42:04</t>
  </si>
  <si>
    <t>Svenja</t>
  </si>
  <si>
    <t>Walter</t>
  </si>
  <si>
    <t>svenjawalter95@web.de</t>
  </si>
  <si>
    <t>+491741021155</t>
  </si>
  <si>
    <t>DPSG Obertürkheim Stamm St.  Franziskus</t>
  </si>
  <si>
    <t>19/01/01</t>
  </si>
  <si>
    <t>IST-10640</t>
  </si>
  <si>
    <t>2024-12-02 10:28:28</t>
  </si>
  <si>
    <t>Lale</t>
  </si>
  <si>
    <t>Akman</t>
  </si>
  <si>
    <t>laleakman@yahoo.de</t>
  </si>
  <si>
    <t>+4917684098636</t>
  </si>
  <si>
    <t>Eichendorffstraße 8, 68167 Mannheim</t>
  </si>
  <si>
    <t>St. Bernhard</t>
  </si>
  <si>
    <t>070101</t>
  </si>
  <si>
    <t>Mannheim</t>
  </si>
  <si>
    <t>IST-17058</t>
  </si>
  <si>
    <t>2024-12-02 18:01:18</t>
  </si>
  <si>
    <t>Fabian</t>
  </si>
  <si>
    <t>Berger</t>
  </si>
  <si>
    <t>bigberger@gmx.de</t>
  </si>
  <si>
    <t>+4917620771317</t>
  </si>
  <si>
    <t>DPSG Stamm Cherusker</t>
  </si>
  <si>
    <t>0007010300</t>
  </si>
  <si>
    <t>Laudenbach</t>
  </si>
  <si>
    <t>IST-18820</t>
  </si>
  <si>
    <t>2024-12-02 18:30:47</t>
  </si>
  <si>
    <t>Malte</t>
  </si>
  <si>
    <t>Grönemann</t>
  </si>
  <si>
    <t>malte.groenemann@dpsg-friedrichsfeld.de</t>
  </si>
  <si>
    <t>+4917641629411</t>
  </si>
  <si>
    <t>DPSG St. Bonifatius Mannheim</t>
  </si>
  <si>
    <t>070106</t>
  </si>
  <si>
    <t>IST-96584</t>
  </si>
  <si>
    <t>2024-12-02 18:49:22</t>
  </si>
  <si>
    <t>Sven</t>
  </si>
  <si>
    <t>Mühlen</t>
  </si>
  <si>
    <t>sven@dpsgwegberg.de</t>
  </si>
  <si>
    <t>+4917696819125</t>
  </si>
  <si>
    <t>DPSG Wegberg</t>
  </si>
  <si>
    <t>0001041000</t>
  </si>
  <si>
    <t>Wegberg</t>
  </si>
  <si>
    <t>IST-46593</t>
  </si>
  <si>
    <t>2024-12-02 20:03:36</t>
  </si>
  <si>
    <t>Dietzmann</t>
  </si>
  <si>
    <t>fabian.dietzmann@gmail.com</t>
  </si>
  <si>
    <t>+4917643431461</t>
  </si>
  <si>
    <t>Stamm von Berg</t>
  </si>
  <si>
    <t>0010010100</t>
  </si>
  <si>
    <t>Solingen</t>
  </si>
  <si>
    <t>IST-31582</t>
  </si>
  <si>
    <t>2024-12-02 21:07:13</t>
  </si>
  <si>
    <t>Anna-Maria</t>
  </si>
  <si>
    <t>Aggelakos</t>
  </si>
  <si>
    <t>anna.aggelakos@hotmail.de</t>
  </si>
  <si>
    <t>+491722940241</t>
  </si>
  <si>
    <t>Empfänger: Freundes- u. Förderverein des Stammes Sr. Felicitas HD-Zgh e.V. IBAN: DE28 6709 2300 0033 1350 92 BIC: GENODE61WNM Bank: Volksbank Kurpfalz eG</t>
  </si>
  <si>
    <t>Stamm Schwester Felicitas Ziegelhausen</t>
  </si>
  <si>
    <t>DPSG Schwester Felicitas Ziegelhausen</t>
  </si>
  <si>
    <t>Heidelberg</t>
  </si>
  <si>
    <t>IST-12782</t>
  </si>
  <si>
    <t>2024-12-02 22:20:06</t>
  </si>
  <si>
    <t>Wolfgang</t>
  </si>
  <si>
    <t>Otto</t>
  </si>
  <si>
    <t>scouterwolfgang@aol.com</t>
  </si>
  <si>
    <t>+4915753131324</t>
  </si>
  <si>
    <t>DPSG Moers St. Josef</t>
  </si>
  <si>
    <t>14/08/01</t>
  </si>
  <si>
    <t>Moers</t>
  </si>
  <si>
    <t>IST-80873</t>
  </si>
  <si>
    <t>2024-12-03 22:28:03</t>
  </si>
  <si>
    <t>Lynn</t>
  </si>
  <si>
    <t>Millard</t>
  </si>
  <si>
    <t>lynn.millard@britishscoutingoverseas.org.uk</t>
  </si>
  <si>
    <t>+33637844303</t>
  </si>
  <si>
    <t>France</t>
  </si>
  <si>
    <t>1st Maisons-Laffitte International</t>
  </si>
  <si>
    <t>lynn burns nutrition</t>
  </si>
  <si>
    <t>Maisons-Laffitte</t>
  </si>
  <si>
    <t>IST-11256</t>
  </si>
  <si>
    <t>2024-12-04 19:36:32</t>
  </si>
  <si>
    <t>Joshua</t>
  </si>
  <si>
    <t>Gartner</t>
  </si>
  <si>
    <t>jpgartner@gmail.com</t>
  </si>
  <si>
    <t>+491756066993</t>
  </si>
  <si>
    <t>Wiesbaden Troop</t>
  </si>
  <si>
    <t>Troop 107</t>
  </si>
  <si>
    <t>Wiesbaden</t>
  </si>
  <si>
    <t>IST-17338</t>
  </si>
  <si>
    <t>2024-12-07 17:40:24</t>
  </si>
  <si>
    <t>Zuzana</t>
  </si>
  <si>
    <t>Holekova</t>
  </si>
  <si>
    <t>zuzanaholekova@centrum.sk</t>
  </si>
  <si>
    <t>+421905886516</t>
  </si>
  <si>
    <t>zbor Irmy Ševcechovej</t>
  </si>
  <si>
    <t>Trenčianska Teplá</t>
  </si>
  <si>
    <t>IST-10569</t>
  </si>
  <si>
    <t>2024-12-07 19:33:48</t>
  </si>
  <si>
    <t>Robert</t>
  </si>
  <si>
    <t>Birkmann</t>
  </si>
  <si>
    <t>robert.birkmann@ostgoten.de</t>
  </si>
  <si>
    <t>+4915151277360</t>
  </si>
  <si>
    <t>Stamm Ostgoten/Rheinbezirk</t>
  </si>
  <si>
    <t>010107</t>
  </si>
  <si>
    <t>Krefeld</t>
  </si>
  <si>
    <t>IST-12385</t>
  </si>
  <si>
    <t>2024-12-07 20:10:04</t>
  </si>
  <si>
    <t>Annika</t>
  </si>
  <si>
    <t>Tobies</t>
  </si>
  <si>
    <t>an@tobies.info</t>
  </si>
  <si>
    <t>+4915734650329</t>
  </si>
  <si>
    <t>DPSG St. Rochus  Rochusstraße 223  53123 Bonn Germany</t>
  </si>
  <si>
    <t>DPSG St. Rochus</t>
  </si>
  <si>
    <t>Pfadfinder</t>
  </si>
  <si>
    <t>Hello, we've got two boys in our troop that have diagnosis in the field of adhd and autism that we want to include in our group activities. To do this we need to increase the number of leaders.   We are looking forward to this Intercamp! Cheers Annika</t>
  </si>
  <si>
    <t>IST-17682</t>
  </si>
  <si>
    <t>2024-12-07 20:38:29</t>
  </si>
  <si>
    <t>IST-61800</t>
  </si>
  <si>
    <t>2024-12-07 20:57:29</t>
  </si>
  <si>
    <t>Erik</t>
  </si>
  <si>
    <t>Iliff</t>
  </si>
  <si>
    <t>iliffe410@gmail.com</t>
  </si>
  <si>
    <t>+31621692799</t>
  </si>
  <si>
    <t>Troop 100</t>
  </si>
  <si>
    <t>Brunssum</t>
  </si>
  <si>
    <t>IST-13942</t>
  </si>
  <si>
    <t>2024-12-07 21:02:55</t>
  </si>
  <si>
    <t>Zbor Irmy Ševcechovej</t>
  </si>
  <si>
    <t>IST-35004</t>
  </si>
  <si>
    <t>2024-12-08 13:07:16</t>
  </si>
  <si>
    <t>Helen</t>
  </si>
  <si>
    <t>Thurston</t>
  </si>
  <si>
    <t>helen.thurston2@gmail.com</t>
  </si>
  <si>
    <t>+41789765569</t>
  </si>
  <si>
    <t>Please send the invoice to be paid to: Jonathon Hopkins, USAGSO - Basel Treasurer, Schaienweg 2 Ettingen CH-4107 Switzerland</t>
  </si>
  <si>
    <t>White Roses / USA girl scouts overseas</t>
  </si>
  <si>
    <t>We have not planned how we will get there yet but will let you know if anything changes from what I have estimated above. I hope that is okay.  Kind regards Helen</t>
  </si>
  <si>
    <t>IST-19969</t>
  </si>
  <si>
    <t>2024-12-08 16:22:24</t>
  </si>
  <si>
    <t>Steven</t>
  </si>
  <si>
    <t>Harker</t>
  </si>
  <si>
    <t>charker22@gmail.com</t>
  </si>
  <si>
    <t>+49</t>
  </si>
  <si>
    <t>Troop 240 B Intercamp Registration</t>
  </si>
  <si>
    <t>Troop 240</t>
  </si>
  <si>
    <t>Grafenwoehr</t>
  </si>
  <si>
    <t>We need two male leaders for our male scouts and one female leader for our Female scouts.</t>
  </si>
  <si>
    <t>IST-19596</t>
  </si>
  <si>
    <t>2024-12-11 21:24:46</t>
  </si>
  <si>
    <t>Randolph</t>
  </si>
  <si>
    <t>Caldwell</t>
  </si>
  <si>
    <t>scoutmastert21munich@gmail.com</t>
  </si>
  <si>
    <t>+491738714703</t>
  </si>
  <si>
    <t>Troop 21</t>
  </si>
  <si>
    <t>0021B</t>
  </si>
  <si>
    <t>Munich</t>
  </si>
  <si>
    <t>IST-47786</t>
  </si>
  <si>
    <t>2024-12-13 14:58:14</t>
  </si>
  <si>
    <t>Sofie</t>
  </si>
  <si>
    <t>Tijssen</t>
  </si>
  <si>
    <t>sofietijssen@hotmail.com</t>
  </si>
  <si>
    <t>+31612305045</t>
  </si>
  <si>
    <t>Scouting Johannes Vianney</t>
  </si>
  <si>
    <t>IST-65379</t>
  </si>
  <si>
    <t>2024-12-20 13:01:11</t>
  </si>
  <si>
    <t>IST-13297</t>
  </si>
  <si>
    <t>2024-12-20 13:03:49</t>
  </si>
  <si>
    <t>Caspar</t>
  </si>
  <si>
    <t>Doornmalen</t>
  </si>
  <si>
    <t>casparvandoornmalen@gmail.com</t>
  </si>
  <si>
    <t>+31625431249</t>
  </si>
  <si>
    <t>IST-18992</t>
  </si>
  <si>
    <t>2024-12-20 13:06:03</t>
  </si>
  <si>
    <t>Daniel</t>
  </si>
  <si>
    <t>Cole</t>
  </si>
  <si>
    <t>daniel.cole32@live.com</t>
  </si>
  <si>
    <t>+12292510986</t>
  </si>
  <si>
    <t>Troop 12</t>
  </si>
  <si>
    <t>APO</t>
  </si>
  <si>
    <t>IST-13607</t>
  </si>
  <si>
    <t>2025-01-01 07:39:49</t>
  </si>
  <si>
    <t>Ulrich</t>
  </si>
  <si>
    <t>Maurach</t>
  </si>
  <si>
    <t>mail@ulrich-maurach.de</t>
  </si>
  <si>
    <t>+491713141429</t>
  </si>
  <si>
    <t>Team!  I’m a german father (born in HH) of a 14 year old daughter and made my promise as a British Scout in Celle, Lower Saxony (Niedersachsen) during the 80’s. A became a Venture Scout during that time and attended only one Intercamp – must have been near the river Rhine close to Bernkastel-Kues.  This year I would like to attend the Intercamp, to show my daughter, what a wonderful movement scouting is. I do offer being a ‘helper’ during the event where ever it is needed.  So – is it possible to attend with 1 tent and two persons?  I hope to hear from you - Ulrich   Ulrich Maurach M +49171 3141429 mail@ulrich-maurach.de</t>
  </si>
  <si>
    <t>Ulrich Maurach</t>
  </si>
  <si>
    <t>-/-</t>
  </si>
  <si>
    <t>Berlin</t>
  </si>
  <si>
    <t>IST-45306</t>
  </si>
  <si>
    <t>2025-01-09 08:35:01</t>
  </si>
  <si>
    <t>POGGIO</t>
  </si>
  <si>
    <t>STEPHAN</t>
  </si>
  <si>
    <t>poggio.stephan@yahoo.com</t>
  </si>
  <si>
    <t>+33632153653</t>
  </si>
  <si>
    <t>Scoutisme Français</t>
  </si>
  <si>
    <t>Scout du Florival</t>
  </si>
  <si>
    <t>EEDF -  GUEBWILLER - SCOUTS DU FLORIVAL - 706019</t>
  </si>
  <si>
    <t>Guebwiller - Soultz</t>
  </si>
  <si>
    <t>IST-13515</t>
  </si>
  <si>
    <t>2025-01-12 17:15:12</t>
  </si>
  <si>
    <t>Barbora</t>
  </si>
  <si>
    <t>Jánská</t>
  </si>
  <si>
    <t>janskabarbora@gmail.com</t>
  </si>
  <si>
    <t>+420733650318</t>
  </si>
  <si>
    <t>Czech Republic</t>
  </si>
  <si>
    <t>JUNAK - cesky skaut</t>
  </si>
  <si>
    <t>Dráčata Štěnovice</t>
  </si>
  <si>
    <t>Štěnovice</t>
  </si>
  <si>
    <t>IST-69112</t>
  </si>
  <si>
    <t>2025-01-13 14:28:34</t>
  </si>
  <si>
    <t>Kolarik</t>
  </si>
  <si>
    <t>smurf@skaut.cz</t>
  </si>
  <si>
    <t>+420723923943</t>
  </si>
  <si>
    <t>Junák – český skaut, středisko Járy Kaštila Prostějov, z. s.  Sokolská 30, 796 01 Prostějov Czech republic  IČO: 65762959</t>
  </si>
  <si>
    <t>JK</t>
  </si>
  <si>
    <t>Prostejov</t>
  </si>
  <si>
    <t>IST-11762</t>
  </si>
  <si>
    <t>2025-01-15 07:08:46</t>
  </si>
  <si>
    <t>Pavel</t>
  </si>
  <si>
    <t>Šenkyřík</t>
  </si>
  <si>
    <t>180.veneta@gmail.com</t>
  </si>
  <si>
    <t>+420733233486</t>
  </si>
  <si>
    <t>Customer: Junák - český skaut, středisko Platan Praha, z. s. Adress: Viktorinova 1122/1,Praha 4 – Nusle, 140 00 Praha, Česká Republika IČO: 40613593</t>
  </si>
  <si>
    <t>Platan</t>
  </si>
  <si>
    <t>IST-32540</t>
  </si>
  <si>
    <t>2025-01-18 14:39:42</t>
  </si>
  <si>
    <t>Lenka</t>
  </si>
  <si>
    <t>Hechtová</t>
  </si>
  <si>
    <t>lenkalischkova@gmail.com</t>
  </si>
  <si>
    <t>+420607881402</t>
  </si>
  <si>
    <t>Core</t>
  </si>
  <si>
    <t>511.02.004</t>
  </si>
  <si>
    <t>Nový Bor</t>
  </si>
  <si>
    <t>IST-18688</t>
  </si>
  <si>
    <t>2025-01-19 18:16:07</t>
  </si>
  <si>
    <t>Petr</t>
  </si>
  <si>
    <t>Kvarda</t>
  </si>
  <si>
    <t>kvardic.p@seznam.cz</t>
  </si>
  <si>
    <t>+420739528720</t>
  </si>
  <si>
    <t>Goliath</t>
  </si>
  <si>
    <t>Přibyslav</t>
  </si>
  <si>
    <t>IST-12285</t>
  </si>
  <si>
    <t>2025-01-20 17:26:18</t>
  </si>
  <si>
    <t>Klára</t>
  </si>
  <si>
    <t>Helánová</t>
  </si>
  <si>
    <t>akela.sebetov@skaut.cz</t>
  </si>
  <si>
    <t>+420777865883</t>
  </si>
  <si>
    <t>Junák - Český skaut, středisko Severka, z.s. Šebetov 49 679 35 Czech Republic</t>
  </si>
  <si>
    <t>Středisko Severka</t>
  </si>
  <si>
    <t>Šebetov</t>
  </si>
  <si>
    <t>We are not sure about the arrival time yet. We're in the process of deciding between Friday morning (around 10 am) and evening (around 6 pm). We'll let you know once we've settled.</t>
  </si>
  <si>
    <t>IST-64335</t>
  </si>
  <si>
    <t>2025-01-21 17:35:18</t>
  </si>
  <si>
    <t>Holoubek</t>
  </si>
  <si>
    <t>jan.holoubek@skaut.cz</t>
  </si>
  <si>
    <t>+420736149229</t>
  </si>
  <si>
    <t>Stopa</t>
  </si>
  <si>
    <t>526.06.004</t>
  </si>
  <si>
    <t>Hradec Králové</t>
  </si>
  <si>
    <t>We need to be two adults for safety reasons (two drivers). Also we both work with the troop during the year as mentors.</t>
  </si>
  <si>
    <t>IST-54674</t>
  </si>
  <si>
    <t>2025-01-22 16:15:01</t>
  </si>
  <si>
    <t>Vojtěch</t>
  </si>
  <si>
    <t>Podzimek</t>
  </si>
  <si>
    <t>podzimek.vojta@skaut.cz</t>
  </si>
  <si>
    <t>+420724144345</t>
  </si>
  <si>
    <t>Junák - český skaut, středisko Sopka Nová Paka, z. s. Svatojánská 1193 509 01 Nová Paka IČ: 60116421</t>
  </si>
  <si>
    <t>Sopka Nová Paka</t>
  </si>
  <si>
    <t>NOVÁ PAKA</t>
  </si>
  <si>
    <t>IST-16688</t>
  </si>
  <si>
    <t>2025-01-22 20:56:18</t>
  </si>
  <si>
    <t>Šimon</t>
  </si>
  <si>
    <t>Trousil</t>
  </si>
  <si>
    <t>+420720103492</t>
  </si>
  <si>
    <t>Orion Kladno</t>
  </si>
  <si>
    <t>Kladno</t>
  </si>
  <si>
    <t>We are traveling from the Czech Republic by bus together with another group of scouts and we are currently planning the bus, so we don't know the exact time of arrival.</t>
  </si>
  <si>
    <t>IST-92152</t>
  </si>
  <si>
    <t>2025-01-24 10:58:50</t>
  </si>
  <si>
    <t>Roberto</t>
  </si>
  <si>
    <t>Baltazar</t>
  </si>
  <si>
    <t>bltzrr@gmail.com</t>
  </si>
  <si>
    <t>+4915117534988</t>
  </si>
  <si>
    <t>Atomic Tacos</t>
  </si>
  <si>
    <t>156 Ramstien</t>
  </si>
  <si>
    <t>Ramstein Air Base</t>
  </si>
  <si>
    <t>IST-12821</t>
  </si>
  <si>
    <t>2025-01-24 13:58:18</t>
  </si>
  <si>
    <t>Amy</t>
  </si>
  <si>
    <t>Hielen</t>
  </si>
  <si>
    <t>amyhielen@gmail.com</t>
  </si>
  <si>
    <t>+491607073891</t>
  </si>
  <si>
    <t>Troop</t>
  </si>
  <si>
    <t>43 and 86</t>
  </si>
  <si>
    <t>Oberusal</t>
  </si>
  <si>
    <t>We may want to add more kids to the registration.</t>
  </si>
  <si>
    <t>IST-14176</t>
  </si>
  <si>
    <t>2025-01-25 14:54:13</t>
  </si>
  <si>
    <t>Requested to register additional participants</t>
  </si>
  <si>
    <t>Dana</t>
  </si>
  <si>
    <t>Tarantová</t>
  </si>
  <si>
    <t>komtesa.dana@gmail.com</t>
  </si>
  <si>
    <t>+420606227817</t>
  </si>
  <si>
    <t>Junák - český skaut, středisko Oheň Most, z. s. Slovenského národního povstání 1191 434 01  Most IČ: 41324919</t>
  </si>
  <si>
    <t>Junák - český skaut, středisko Oheň Most, z. s.</t>
  </si>
  <si>
    <t>Most</t>
  </si>
  <si>
    <t>IST-15385</t>
  </si>
  <si>
    <t>2025-01-26 18:36:08</t>
  </si>
  <si>
    <t>Ondřej</t>
  </si>
  <si>
    <t>Mikulčík</t>
  </si>
  <si>
    <t>ondrej.mikulcik@gmail.com</t>
  </si>
  <si>
    <t>+420702282329</t>
  </si>
  <si>
    <t>Junák Český skaut -  středisko Vizovice z.s. Razov 761 Vizovice 76312 Czech republic IC: 46277404</t>
  </si>
  <si>
    <t>Vizovice</t>
  </si>
  <si>
    <t>IST-29006</t>
  </si>
  <si>
    <t>2025-01-28 16:33:49</t>
  </si>
  <si>
    <t>Vanda</t>
  </si>
  <si>
    <t>Hegerová</t>
  </si>
  <si>
    <t>vanda.hegerova@seznam.cz</t>
  </si>
  <si>
    <t>+420</t>
  </si>
  <si>
    <t>Blaník</t>
  </si>
  <si>
    <t>Arrival time is not exactly we are still planing.</t>
  </si>
  <si>
    <t>IST-81258</t>
  </si>
  <si>
    <t>2025-01-28 19:14:48</t>
  </si>
  <si>
    <t>Jonáš</t>
  </si>
  <si>
    <t>Novotný</t>
  </si>
  <si>
    <t>novotny.jonas@seznam.cz</t>
  </si>
  <si>
    <t>+420731403977</t>
  </si>
  <si>
    <t>Anikrok a Dvojka</t>
  </si>
  <si>
    <t>Přelouč</t>
  </si>
  <si>
    <t>IST-95252</t>
  </si>
  <si>
    <t>2025-01-28 19:30:24</t>
  </si>
  <si>
    <t>Patrick</t>
  </si>
  <si>
    <t>Stevens</t>
  </si>
  <si>
    <t>pmstevensv@icloud.com</t>
  </si>
  <si>
    <t>+31625066599</t>
  </si>
  <si>
    <t>Our troop signup consists of both a boys’ troop and a girls’ troop (Troop 100B and Troop 100G), requiring at least one registered female leader to be present at all times per BSA Youth Protection policies. With only two female leaders available, additional adult coverage is necessary to ensure compliance while allowing for flexibility in activities. With 17 scouts attending, the standard 1:5 ratio would suggest a minimum of four leaders, but this does not account for the logistical complexities of managing both the boys’ and girls’ troops. Also, transportation logistics necessitate additional adults, requiring more leaders to transport all participants to and from the campout.</t>
  </si>
  <si>
    <t>IST-16807</t>
  </si>
  <si>
    <t>2025-01-30 18:15:03</t>
  </si>
  <si>
    <t>Agáta</t>
  </si>
  <si>
    <t>Navrkalová</t>
  </si>
  <si>
    <t>agata.nvr@skaut.cz</t>
  </si>
  <si>
    <t>+420773301941</t>
  </si>
  <si>
    <t>Junák - český skaut, středisko Podyjí Znojmo, z. s.</t>
  </si>
  <si>
    <t>Znojmo</t>
  </si>
  <si>
    <t>IST-18787</t>
  </si>
  <si>
    <t>2025-01-31 10:36:55</t>
  </si>
  <si>
    <t>Vlastimil</t>
  </si>
  <si>
    <t>Buriánek</t>
  </si>
  <si>
    <t>vlastimil.burianek@skaut.cz</t>
  </si>
  <si>
    <t>+420725561858</t>
  </si>
  <si>
    <t>Děti přírody</t>
  </si>
  <si>
    <t>Prostějov</t>
  </si>
  <si>
    <t>Departure/arrival times are (still) approximate.</t>
  </si>
  <si>
    <t>IST-20023</t>
  </si>
  <si>
    <t>2025-01-31 20:17:50</t>
  </si>
  <si>
    <t>Rejsek</t>
  </si>
  <si>
    <t>ondrej.rejsek@seznam.cz</t>
  </si>
  <si>
    <t>+420605211206</t>
  </si>
  <si>
    <t>Junák - český skaut, středisko Želivák Hradec Králové, z. s. Čajkovského 1861/46A, 500 09 Hradec Králové IČO: 62693158</t>
  </si>
  <si>
    <t>Želivák</t>
  </si>
  <si>
    <t>We have exceeded the participant rate, because two of the leaders are still rangers in the age of 18, which want to go together. We would like to give them the opportunity to gain experience in leadership - to participate in organization of the international event. In our opinion they should have the support of older and experienced leader. Unfortunately the number of scout - participants is a little bit lower than expected.</t>
  </si>
  <si>
    <t>IST-64944</t>
  </si>
  <si>
    <t>2025-01-31 20:55:09</t>
  </si>
  <si>
    <t>Antonín</t>
  </si>
  <si>
    <t>Kala</t>
  </si>
  <si>
    <t>tonda.kala@seznam.cz</t>
  </si>
  <si>
    <t>+420603472473</t>
  </si>
  <si>
    <t>Stopaři</t>
  </si>
  <si>
    <t>Praha</t>
  </si>
  <si>
    <t>IST-19283</t>
  </si>
  <si>
    <t>2025-01-31 22:47:55</t>
  </si>
  <si>
    <t>Leah</t>
  </si>
  <si>
    <t>Gililland</t>
  </si>
  <si>
    <t>leahm2scott@gmail.com</t>
  </si>
  <si>
    <t>Troop 164 Sembach</t>
  </si>
  <si>
    <t>Sembach</t>
  </si>
  <si>
    <t>Sunday</t>
  </si>
  <si>
    <t>IST-89120</t>
  </si>
  <si>
    <t>2025-02-01 14:15:40</t>
  </si>
  <si>
    <t>Jiří</t>
  </si>
  <si>
    <t>Granát</t>
  </si>
  <si>
    <t>namornik@skaut.cz</t>
  </si>
  <si>
    <t>+420732310218</t>
  </si>
  <si>
    <t>Junák Kostelec nad Orlicí</t>
  </si>
  <si>
    <t>Kostelec nad Orlicí</t>
  </si>
  <si>
    <t>IST-23514</t>
  </si>
  <si>
    <t>2025-02-01 21:53:16</t>
  </si>
  <si>
    <t>Lucie</t>
  </si>
  <si>
    <t>Urbanová</t>
  </si>
  <si>
    <t>lucie.urbn@gmail.com</t>
  </si>
  <si>
    <t>+420728900846</t>
  </si>
  <si>
    <t>Devítky</t>
  </si>
  <si>
    <t>Litomyšl</t>
  </si>
  <si>
    <t>IST-66761</t>
  </si>
  <si>
    <t>2025-02-03 15:13:33</t>
  </si>
  <si>
    <t>Kateřina</t>
  </si>
  <si>
    <t>Tuháčková</t>
  </si>
  <si>
    <t>katy58@skaut.cz</t>
  </si>
  <si>
    <t>+420725882920</t>
  </si>
  <si>
    <t>Sluneční údolí</t>
  </si>
  <si>
    <t>323.05.058</t>
  </si>
  <si>
    <t>Starý Plzenec</t>
  </si>
  <si>
    <t>IST-11470</t>
  </si>
  <si>
    <t>2025-02-03 20:18:05</t>
  </si>
  <si>
    <t>Aleksandra</t>
  </si>
  <si>
    <t>Comblik</t>
  </si>
  <si>
    <t>aleksandra.comblik@zhp.net.pl</t>
  </si>
  <si>
    <t>+48510361821</t>
  </si>
  <si>
    <t>Poland</t>
  </si>
  <si>
    <t>Zwiazek Harcerstwa Polskiego</t>
  </si>
  <si>
    <t>Silva</t>
  </si>
  <si>
    <t>Gdansk</t>
  </si>
  <si>
    <t>IST-12664</t>
  </si>
  <si>
    <t>2025-02-04 14:27:42</t>
  </si>
  <si>
    <t>Nevřivý</t>
  </si>
  <si>
    <t>nevrivy.skaut@gmail.com</t>
  </si>
  <si>
    <t>+420736678622</t>
  </si>
  <si>
    <t>Artemis/Ontario</t>
  </si>
  <si>
    <t>Zlín-Malenovice</t>
  </si>
  <si>
    <t>IST-97908</t>
  </si>
  <si>
    <t>2025-02-04 22:26:15</t>
  </si>
  <si>
    <t>Karolina</t>
  </si>
  <si>
    <t>Pazdro</t>
  </si>
  <si>
    <t>karolina.pazdro@zhp.net.pl</t>
  </si>
  <si>
    <t>+48609724261</t>
  </si>
  <si>
    <t>Brzęczące Chrabąszcze</t>
  </si>
  <si>
    <t>Kraków</t>
  </si>
  <si>
    <t>IST-12955</t>
  </si>
  <si>
    <t>2025-02-05 12:07:35</t>
  </si>
  <si>
    <t>Magdalena</t>
  </si>
  <si>
    <t>Szymczak</t>
  </si>
  <si>
    <t>szymczak.magdalena@zhp.net.pl</t>
  </si>
  <si>
    <t>+48786087728</t>
  </si>
  <si>
    <t>Łosie z Górnej półki</t>
  </si>
  <si>
    <t>Łódź</t>
  </si>
  <si>
    <t>IST-22412</t>
  </si>
  <si>
    <t>2025-02-05 12:18:04</t>
  </si>
  <si>
    <t>Natalia</t>
  </si>
  <si>
    <t>Gwizd</t>
  </si>
  <si>
    <t>natalia.gwizd@zhp.net.pl</t>
  </si>
  <si>
    <t>+48607781951</t>
  </si>
  <si>
    <t>Polish Eagles</t>
  </si>
  <si>
    <t>IST-10548</t>
  </si>
  <si>
    <t>2025-02-05 12:21:04</t>
  </si>
  <si>
    <t>Natasza</t>
  </si>
  <si>
    <t>Pytlarczyk</t>
  </si>
  <si>
    <t>natasza.pytlarczyk@zhp.net.pl</t>
  </si>
  <si>
    <t>+48792891243</t>
  </si>
  <si>
    <t>bunt</t>
  </si>
  <si>
    <t>Warszawa Praga-Południe</t>
  </si>
  <si>
    <t>IST-31219</t>
  </si>
  <si>
    <t>2025-02-05 12:32:31</t>
  </si>
  <si>
    <t>Joanna</t>
  </si>
  <si>
    <t>Poniatowska</t>
  </si>
  <si>
    <t>joanna.poniatowska@zhp.net.pl</t>
  </si>
  <si>
    <t>+48509069268</t>
  </si>
  <si>
    <t>13 WDH - patrol harcerski</t>
  </si>
  <si>
    <t>Złotokłos</t>
  </si>
  <si>
    <t>IST-12701</t>
  </si>
  <si>
    <t>2025-02-05 12:35:14</t>
  </si>
  <si>
    <t>Oskar</t>
  </si>
  <si>
    <t>Kostyrka</t>
  </si>
  <si>
    <t>oskar.kostyrka@zhp.net.pl</t>
  </si>
  <si>
    <t>+48535003542</t>
  </si>
  <si>
    <t>13WDH patrol starszoharcerski</t>
  </si>
  <si>
    <t>IST-17219</t>
  </si>
  <si>
    <t>2025-02-05 12:37:30</t>
  </si>
  <si>
    <t>Patryk</t>
  </si>
  <si>
    <t>Konieczny</t>
  </si>
  <si>
    <t>patryk.konieczny@zhp.net.pl</t>
  </si>
  <si>
    <t>+48501679756</t>
  </si>
  <si>
    <t>Czarne Siódemki</t>
  </si>
  <si>
    <t>Cieszyn</t>
  </si>
  <si>
    <t>We would like to be as close as possible on intercamp campsite to our friendly scout team called Watrzaki. Thanks in advance.</t>
  </si>
  <si>
    <t>IST-10906</t>
  </si>
  <si>
    <t>2025-02-05 12:39:54</t>
  </si>
  <si>
    <t>Nikola</t>
  </si>
  <si>
    <t>Mulewska</t>
  </si>
  <si>
    <t>nikola.mulewska@zhp.net.pl</t>
  </si>
  <si>
    <t>+48505834404</t>
  </si>
  <si>
    <t>71N</t>
  </si>
  <si>
    <t>Gdańsk</t>
  </si>
  <si>
    <t>In there is an option we wolud like to be togeter with 71A, 76 Silva, 74 GDH „Kotwice”, 78 Dianthus and when still tehre is posibility we would like to be also with 98 Płomienne zorze, 94 GDSH ,,Venga, vamos!", Nebula. Thank you!</t>
  </si>
  <si>
    <t>IST-17468</t>
  </si>
  <si>
    <t>2025-02-05 14:07:06</t>
  </si>
  <si>
    <t>Adrianna</t>
  </si>
  <si>
    <t>Gutowska</t>
  </si>
  <si>
    <t>adrianna.gutowska@zhp.net.pl</t>
  </si>
  <si>
    <t>+48780121856</t>
  </si>
  <si>
    <t>71 A</t>
  </si>
  <si>
    <t>We are together with 71 N so the amount of children is 15 and we have 3 leaders. So proportions are Preserved.</t>
  </si>
  <si>
    <t>IST-11512</t>
  </si>
  <si>
    <t>2025-02-05 14:14:47</t>
  </si>
  <si>
    <t>Zuzanna</t>
  </si>
  <si>
    <t>Stankiewicz</t>
  </si>
  <si>
    <t>zuzanna.stankiewicz1@zhp.net.pl</t>
  </si>
  <si>
    <t>+48535225116</t>
  </si>
  <si>
    <t>Płomienne Zorze</t>
  </si>
  <si>
    <t>In there is an option we wolud like to be togeter with 71A, 71N, 76 Silva, 74 GDH „Kotwice”, 78 Dianthus and when still tehre is posibility we would like to be also with, 94 GDSH ,,Venga, vamos!", Nebula. Thank you!</t>
  </si>
  <si>
    <t>IST-20772</t>
  </si>
  <si>
    <t>2025-02-05 14:19:18</t>
  </si>
  <si>
    <t>Michał</t>
  </si>
  <si>
    <t>Wnuk</t>
  </si>
  <si>
    <t>michal.wnuk@zhp.net.pl</t>
  </si>
  <si>
    <t>+48602672459</t>
  </si>
  <si>
    <t>Zawiercie 1</t>
  </si>
  <si>
    <t>Zawiercie</t>
  </si>
  <si>
    <t>We ask that the camping area for the patrol "zawiercie 1" and "zawiercie 2" be next to each other. We are the same large group from one city.  Would it be possible for us to spend the night on Thursday at the convention site?</t>
  </si>
  <si>
    <t>IST-63079</t>
  </si>
  <si>
    <t>2025-02-05 14:21:53</t>
  </si>
  <si>
    <t>Katarzyna</t>
  </si>
  <si>
    <t>Krzepkowska</t>
  </si>
  <si>
    <t>hufiec@zawiercie.zhp.pl</t>
  </si>
  <si>
    <t>Zawiercie 2</t>
  </si>
  <si>
    <t>IST-10147</t>
  </si>
  <si>
    <t>2025-02-05 14:25:33</t>
  </si>
  <si>
    <t>Jacek</t>
  </si>
  <si>
    <t>Słaby</t>
  </si>
  <si>
    <t>jacek.slaby@zhp.net.pl</t>
  </si>
  <si>
    <t>+48502039396</t>
  </si>
  <si>
    <t>30 WDH</t>
  </si>
  <si>
    <t>Warszawa</t>
  </si>
  <si>
    <t>IST-19825</t>
  </si>
  <si>
    <t>2025-02-05 14:30:41</t>
  </si>
  <si>
    <t>Marta</t>
  </si>
  <si>
    <t>Zielińska</t>
  </si>
  <si>
    <t>marta.zielinska@zhp.net.pl</t>
  </si>
  <si>
    <t>+48535775774</t>
  </si>
  <si>
    <t>424 DS "Żywioły"</t>
  </si>
  <si>
    <t>Izabelin</t>
  </si>
  <si>
    <t>IST-11217</t>
  </si>
  <si>
    <t>2025-02-05 15:33:27</t>
  </si>
  <si>
    <t>Filip</t>
  </si>
  <si>
    <t>Fišer</t>
  </si>
  <si>
    <t>fiser-filip@seznam.cz</t>
  </si>
  <si>
    <t>+420731993016</t>
  </si>
  <si>
    <t>Junák - český skaut, středisko Vamberk, z. s. Ič.: 42885311 V Lukách 598, 517 54 Vamberk</t>
  </si>
  <si>
    <t>2. Oddíl (DSS)</t>
  </si>
  <si>
    <t>524.09.002</t>
  </si>
  <si>
    <t>Vamberk</t>
  </si>
  <si>
    <t>the second leader Jaroslav Vašátko  +420 733 580 760 jaroslav.vasatko@seznam.cz</t>
  </si>
  <si>
    <t>IST-21179</t>
  </si>
  <si>
    <t>2025-02-07 14:42:26</t>
  </si>
  <si>
    <t>Matyáš</t>
  </si>
  <si>
    <t>matyasmartin0@gmail.com</t>
  </si>
  <si>
    <t>+420608642615</t>
  </si>
  <si>
    <t>Tumulus Újezd u Brna aneb děcka, pecka, pojedeme do Německa</t>
  </si>
  <si>
    <t>Újezd u Brna</t>
  </si>
  <si>
    <t>IST-30049</t>
  </si>
  <si>
    <t>2025-02-09 18:29:12</t>
  </si>
  <si>
    <t>Aaron</t>
  </si>
  <si>
    <t>Hobbins</t>
  </si>
  <si>
    <t>aaron.hobbins@gmail.com</t>
  </si>
  <si>
    <t>+4915254780318</t>
  </si>
  <si>
    <t>Mailing address: An den Hopfengaerten 1, 67722 Winnweiler</t>
  </si>
  <si>
    <t>Troop 69 Vogelweh</t>
  </si>
  <si>
    <t>T69B</t>
  </si>
  <si>
    <t>Kaiserslautern</t>
  </si>
  <si>
    <t>IST-70602</t>
  </si>
  <si>
    <t>2025-02-09 19:05:08</t>
  </si>
  <si>
    <t>Additional request</t>
  </si>
  <si>
    <t>Bára</t>
  </si>
  <si>
    <t>Matoušová</t>
  </si>
  <si>
    <t>matousova.bara@skaut.cz</t>
  </si>
  <si>
    <t>+420605989853</t>
  </si>
  <si>
    <t>Fata Morgana</t>
  </si>
  <si>
    <t>Nové Město nad Metují</t>
  </si>
  <si>
    <t>IST-64369</t>
  </si>
  <si>
    <t>2025-02-10 13:55:50</t>
  </si>
  <si>
    <t>Čechura</t>
  </si>
  <si>
    <t>pavelcechura@seznam.cz</t>
  </si>
  <si>
    <t>+420607927028</t>
  </si>
  <si>
    <t>Třebechovice</t>
  </si>
  <si>
    <t>Třebechovice pod Orebem</t>
  </si>
  <si>
    <t>IST-84861</t>
  </si>
  <si>
    <t>2025-02-10 16:39:41</t>
  </si>
  <si>
    <t>Čechová</t>
  </si>
  <si>
    <t>albus@skaut.cz</t>
  </si>
  <si>
    <t>+420602144407</t>
  </si>
  <si>
    <t>Junák – český skaut, středisko Bílý los Praha, z. s. , Praha   Liborova 470/2, Praha 6 – Břevnov, 16900  IČ: 61389650</t>
  </si>
  <si>
    <t>Bílý los</t>
  </si>
  <si>
    <t>Hello, we are not sure about out arrival and departure time, but I think we will be flexible about that. We are going to order bus with another few troops form our area. Greets, Katka Čechová  - Albus.</t>
  </si>
  <si>
    <t>IST-15861</t>
  </si>
  <si>
    <t>2025-02-10 18:13:21</t>
  </si>
  <si>
    <t>Miroslav</t>
  </si>
  <si>
    <t>Král</t>
  </si>
  <si>
    <t>usteckadvojka@gmail.com</t>
  </si>
  <si>
    <t>+420605567227</t>
  </si>
  <si>
    <t>Ústecká dvojka</t>
  </si>
  <si>
    <t>427.01.002</t>
  </si>
  <si>
    <t>Ústí nad Labem</t>
  </si>
  <si>
    <t>IST-21250</t>
  </si>
  <si>
    <t>2025-02-11 16:48:31</t>
  </si>
  <si>
    <t>Litwińska</t>
  </si>
  <si>
    <t>karolina.liwinska@zhp.net.pl</t>
  </si>
  <si>
    <t>+48 799196515</t>
  </si>
  <si>
    <t>Strumień 58</t>
  </si>
  <si>
    <t>IST-17075</t>
  </si>
  <si>
    <t>2025-02-16 21:27:46</t>
  </si>
  <si>
    <t>Plus 1 to pay</t>
  </si>
  <si>
    <t>Święcicki</t>
  </si>
  <si>
    <t>michal.swiecicki@zhp.net.pl</t>
  </si>
  <si>
    <t>+48511267708</t>
  </si>
  <si>
    <t>Granda</t>
  </si>
  <si>
    <t>IST-20570</t>
  </si>
  <si>
    <t>2025-02-16 21:37:27</t>
  </si>
  <si>
    <t>Julia</t>
  </si>
  <si>
    <t>Kinderman</t>
  </si>
  <si>
    <t>julia.kinderman@zhp.net.pl</t>
  </si>
  <si>
    <t>+48519656858</t>
  </si>
  <si>
    <t>Gwardians</t>
  </si>
  <si>
    <t>IST-18637</t>
  </si>
  <si>
    <t>2025-02-16 21:41:39</t>
  </si>
  <si>
    <t>Damian</t>
  </si>
  <si>
    <t>Wojciechowski</t>
  </si>
  <si>
    <t>damian.wojciechowski@zhp.net.pl</t>
  </si>
  <si>
    <t>+48530259321</t>
  </si>
  <si>
    <t>7 DH Arkana</t>
  </si>
  <si>
    <t>Ząbki</t>
  </si>
  <si>
    <t>IST-20119</t>
  </si>
  <si>
    <t>2025-02-16 21:44:20</t>
  </si>
  <si>
    <t>Our Trailer is part of our kitchen. So it has to sty on our campsite!</t>
  </si>
  <si>
    <t>IST-21261</t>
  </si>
  <si>
    <t>2025-02-17 01:00:14</t>
  </si>
  <si>
    <t>Michal</t>
  </si>
  <si>
    <t>Sýkora</t>
  </si>
  <si>
    <t>sykoramichal@skaut.cz</t>
  </si>
  <si>
    <t>+420739102827</t>
  </si>
  <si>
    <t>AD FONTES</t>
  </si>
  <si>
    <t>Šebrov - Kateřina</t>
  </si>
  <si>
    <t>IST-54943</t>
  </si>
  <si>
    <t>2025-02-17 21:05:42</t>
  </si>
  <si>
    <t>Rick</t>
  </si>
  <si>
    <t>Galeano</t>
  </si>
  <si>
    <t>rick_galeano@hotmail.com</t>
  </si>
  <si>
    <t>+491745407463</t>
  </si>
  <si>
    <t>Panzer Troop 44</t>
  </si>
  <si>
    <t>Boeblingen</t>
  </si>
  <si>
    <t>2025-02-23 17:37:11</t>
  </si>
  <si>
    <t xml:space="preserve">Emilia </t>
  </si>
  <si>
    <t>Skrzypek</t>
  </si>
  <si>
    <t>emilia.skrzypek@zhp.net.pl</t>
  </si>
  <si>
    <t>Czata wymiata</t>
  </si>
  <si>
    <t>Mosina</t>
  </si>
  <si>
    <t>IST-96201</t>
  </si>
  <si>
    <t>2025-02-23 18:30:20</t>
  </si>
  <si>
    <t>Patrycja</t>
  </si>
  <si>
    <t>Kiryluk</t>
  </si>
  <si>
    <t>patrycja.kiryluk@zhp.net.pl</t>
  </si>
  <si>
    <t>+48 604948623</t>
  </si>
  <si>
    <t>FDDH 2</t>
  </si>
  <si>
    <t>Morąg</t>
  </si>
  <si>
    <t>We would be grateful if you could place our two teams, FDDH 1 and FDDH 2, in the same subcamp during the Intercamp. We don’t have enough equipment to divide between the teams, and we are part of the same scout group.</t>
  </si>
  <si>
    <t>IST-83825</t>
  </si>
  <si>
    <t>2025-02-23 18:34:30</t>
  </si>
  <si>
    <t>Kamil</t>
  </si>
  <si>
    <t>Sagan</t>
  </si>
  <si>
    <t>kamil.sagan@zhp.net.pl</t>
  </si>
  <si>
    <t>+48795599749</t>
  </si>
  <si>
    <t>HSDeserterzy</t>
  </si>
  <si>
    <t>IST-16632</t>
  </si>
  <si>
    <t>2025-02-23 18:38:33</t>
  </si>
  <si>
    <t>Jakub</t>
  </si>
  <si>
    <t>Jędras</t>
  </si>
  <si>
    <t>jakub.jedras@zhp.net.pl</t>
  </si>
  <si>
    <t>+48606891044</t>
  </si>
  <si>
    <t>HSDeserterki</t>
  </si>
  <si>
    <t>IST-17214</t>
  </si>
  <si>
    <t>2025-02-23 18:44:55</t>
  </si>
  <si>
    <t>Maciej</t>
  </si>
  <si>
    <t>Rogowicz</t>
  </si>
  <si>
    <t>maciej.rogowicz@zhp.net.pl</t>
  </si>
  <si>
    <t>+48666677498</t>
  </si>
  <si>
    <t>Nebula</t>
  </si>
  <si>
    <t>We wolud like to be togeter with 76 Silva, 74 Kotwice, 71A and 71N, plomienne zorze, venda vamos and diathus, if it is possible or at least partly together</t>
  </si>
  <si>
    <t>IST-19439</t>
  </si>
  <si>
    <t>2025-02-23 18:49:46</t>
  </si>
  <si>
    <t>Dominik Jeffrey</t>
  </si>
  <si>
    <t>Rimaszauskas</t>
  </si>
  <si>
    <t>dominik.rimaszauskas@zhp.net.pl</t>
  </si>
  <si>
    <t>+48535037130</t>
  </si>
  <si>
    <t>FDDH 1</t>
  </si>
  <si>
    <t>MORĄG</t>
  </si>
  <si>
    <t>IST-33514</t>
  </si>
  <si>
    <t>2025-02-23 18:53:04</t>
  </si>
  <si>
    <t>Izabela</t>
  </si>
  <si>
    <t>Kucmin-Bemelmans</t>
  </si>
  <si>
    <t>izabela.kucmin-bemelmans@zhp.net.pl</t>
  </si>
  <si>
    <t>+48692277074</t>
  </si>
  <si>
    <t>Skalne Nietoperze</t>
  </si>
  <si>
    <t>Biały Kościół</t>
  </si>
  <si>
    <t>IST-18955</t>
  </si>
  <si>
    <t>2025-02-23 19:26:55</t>
  </si>
  <si>
    <t>Sabina</t>
  </si>
  <si>
    <t>sabina.konieczny@zhp.net.pl</t>
  </si>
  <si>
    <t>+48</t>
  </si>
  <si>
    <t>Watrzaki</t>
  </si>
  <si>
    <t>Brenna</t>
  </si>
  <si>
    <t>We come to intercamp with "Czarne Siódemki" team and we ask you to be together at the camp.</t>
  </si>
  <si>
    <t>IST-18013</t>
  </si>
  <si>
    <t>2025-02-23 19:35:56</t>
  </si>
  <si>
    <t>Sało</t>
  </si>
  <si>
    <t>julia.salo@zhp.net.pl</t>
  </si>
  <si>
    <t>+48513504409</t>
  </si>
  <si>
    <t>Feniksiątka</t>
  </si>
  <si>
    <t>Our patrol is from one team with the Feniksiaki patrol (leader-Joanna Zubek). If it would be possible, we would appreciate being located at a common camping spot, as we will share tents and equipment. Likewise with activities-we will be grateful if our hikes and activities are scheduled on the same days.</t>
  </si>
  <si>
    <t>IST-17697</t>
  </si>
  <si>
    <t>2025-02-23 20:21:28</t>
  </si>
  <si>
    <t>Dorota</t>
  </si>
  <si>
    <t>Kułaga</t>
  </si>
  <si>
    <t>dorota.kulaga@zhp.net.pl</t>
  </si>
  <si>
    <t>+48510454231</t>
  </si>
  <si>
    <t>74 GDH „Kotwice”</t>
  </si>
  <si>
    <t>If possible we would like to be togetger with all troops from Gdańsk or partly with them. (71A, 71N, 76 Silva, 141 Nebula, plomienne zorze, venda vamos, diathus)</t>
  </si>
  <si>
    <t>IST-31679</t>
  </si>
  <si>
    <t>2025-02-23 20:30:09</t>
  </si>
  <si>
    <t>Mocarska</t>
  </si>
  <si>
    <t>aleksandra.mocarska@zhp.net.pl</t>
  </si>
  <si>
    <t>+48881202503</t>
  </si>
  <si>
    <t>Dianthus</t>
  </si>
  <si>
    <t>If possible we would like to be together with 71A, 71N, 76 Silva, 74 Kotwice, 141 Nebula, plomienne zorze and venda vamos. Thank you!</t>
  </si>
  <si>
    <t>IST-10409</t>
  </si>
  <si>
    <t>2025-02-23 20:34:23</t>
  </si>
  <si>
    <t>+494915117534988</t>
  </si>
  <si>
    <t>Radioactive</t>
  </si>
  <si>
    <t>Ramstein</t>
  </si>
  <si>
    <t>IST-12623</t>
  </si>
  <si>
    <t>2025-02-25 20:47:16</t>
  </si>
  <si>
    <t>JASON</t>
  </si>
  <si>
    <t>MUELLER</t>
  </si>
  <si>
    <t>jmueller6002@yahoo.com</t>
  </si>
  <si>
    <t>+4915209233692</t>
  </si>
  <si>
    <t>0303</t>
  </si>
  <si>
    <t>Hohenfels</t>
  </si>
  <si>
    <t>IST-40890</t>
  </si>
  <si>
    <t>2025-02-27 18:28:15</t>
  </si>
  <si>
    <t>Marie Anna</t>
  </si>
  <si>
    <t>Chlachulová</t>
  </si>
  <si>
    <t>mchlachulov.a@seznam.cz</t>
  </si>
  <si>
    <t>+420773883110</t>
  </si>
  <si>
    <t>Mustangové</t>
  </si>
  <si>
    <t>Uherské Hradiště</t>
  </si>
  <si>
    <t>We have 2 leaders And 8 children, since we have both just turned 18 And we have no previous experience travelling with kids alone, we think it will be more responsible and safer to travel abroad with the kids with 2 leaders .</t>
  </si>
  <si>
    <t>IST-81116</t>
  </si>
  <si>
    <t>2025-03-04 16:42:05</t>
  </si>
  <si>
    <t>Munson</t>
  </si>
  <si>
    <t>nebr_bob@hotmail.com</t>
  </si>
  <si>
    <t>+4915234636794</t>
  </si>
  <si>
    <t>contact me for payment</t>
  </si>
  <si>
    <t>We need the leaders to drive</t>
  </si>
  <si>
    <t>IST-12948</t>
  </si>
  <si>
    <t>2025-03-09 15:56:31</t>
  </si>
  <si>
    <t>Kristin</t>
  </si>
  <si>
    <t>Heist</t>
  </si>
  <si>
    <t>kristin310@hotmail.com</t>
  </si>
  <si>
    <t>+32491994561</t>
  </si>
  <si>
    <t>Scouting America Troop 325G</t>
  </si>
  <si>
    <t>325G</t>
  </si>
  <si>
    <t>SHAPE</t>
  </si>
  <si>
    <t>Traveling extra adults due to travel from other locations.</t>
  </si>
  <si>
    <t>IST-51638</t>
  </si>
  <si>
    <t>2025-03-18 18:43:11</t>
  </si>
  <si>
    <t>Mikuláš</t>
  </si>
  <si>
    <t>Jandík</t>
  </si>
  <si>
    <t>jandik.mikulasz@gmail.com</t>
  </si>
  <si>
    <t>+420731743330</t>
  </si>
  <si>
    <t>Junák - český skaut, Středisko bratří Mašínů Praha z. s., Čihákova 1791/20, Praha 9, 190 00</t>
  </si>
  <si>
    <t>Ginkgo</t>
  </si>
  <si>
    <t>It is possible that we will arrive at a different time (during Friday afternoon or evening).</t>
  </si>
  <si>
    <t>IST-18827</t>
  </si>
  <si>
    <t>2025-03-20 17:00:41</t>
  </si>
  <si>
    <t>Chris</t>
  </si>
  <si>
    <t>Watts</t>
  </si>
  <si>
    <t>cbrannonwatts@gmail.com</t>
  </si>
  <si>
    <t>+18153120177</t>
  </si>
  <si>
    <t>SHAPE BSA Troop 325B (the Boys' Troop) - please use my Belgian phone number for any correspondence +32 470 65 90 01, or my email: cbrannonwatts@gmail.com.</t>
  </si>
  <si>
    <t>SHAPE Troop 325B</t>
  </si>
  <si>
    <t>325B</t>
  </si>
  <si>
    <t>If I have any cancellations or changes, who do I contact? I am not anticipating changes, but things do come up.</t>
  </si>
  <si>
    <t>IST-37418</t>
  </si>
  <si>
    <t>2025-03-21 08:48:14</t>
  </si>
  <si>
    <t>Henry</t>
  </si>
  <si>
    <t>Williams</t>
  </si>
  <si>
    <t>tomnkt98@gmail.com</t>
  </si>
  <si>
    <t>+14104249248</t>
  </si>
  <si>
    <t>Scout Troop 154 (Boys)</t>
  </si>
  <si>
    <t>Troop 0154 (BT)</t>
  </si>
  <si>
    <t>We also have a scout who paid with Troop 324, also from Stuttgart, but transferred to our troop. Please add that individual to our count so we are provided the correct number of camping slots, wristbands, patches, etc.  Using three adults to assist with transportation of scouts and gear. Most of our scouts are on the the younger side, so the extra leader will help.</t>
  </si>
  <si>
    <t>IST-17804</t>
  </si>
  <si>
    <t>2025-03-22 16:45:29</t>
  </si>
  <si>
    <t xml:space="preserve">Joanna </t>
  </si>
  <si>
    <t>Zubek</t>
  </si>
  <si>
    <t>joanna.zubek@zhp.net.pl</t>
  </si>
  <si>
    <t>+48 534152804</t>
  </si>
  <si>
    <t>Feniksiaki </t>
  </si>
  <si>
    <t xml:space="preserve">Our patrol is from one team with the Feniksiątka patrol (leader-Julia Sało). If it would be possible, we would appreciate being located at a common camping spot, as we will share tents and equipment. Likewise with activities-we will be grateful if our hikes and activities are scheduled on the same days. </t>
  </si>
  <si>
    <t>IST</t>
  </si>
  <si>
    <t>300 euro to be paid</t>
  </si>
  <si>
    <t xml:space="preserve">Pola </t>
  </si>
  <si>
    <t>Drygiel</t>
  </si>
  <si>
    <t>pola.drygiel@zhp.pl</t>
  </si>
  <si>
    <t>+48 602497212</t>
  </si>
  <si>
    <t>Kociaki górą</t>
  </si>
  <si>
    <t>warszawa</t>
  </si>
  <si>
    <t>275 euro to be paid</t>
  </si>
  <si>
    <t xml:space="preserve">Sabina </t>
  </si>
  <si>
    <t>Gurowiec </t>
  </si>
  <si>
    <t>sabina.gurowiec@zhp.net.pl</t>
  </si>
  <si>
    <t>+48 509632613</t>
  </si>
  <si>
    <t>16 Drużyna Harcerska Tarnowskie Góry </t>
  </si>
  <si>
    <t>Tarnowskie Góry </t>
  </si>
  <si>
    <t>425 euro to be paid</t>
  </si>
  <si>
    <t>Katarzyna  </t>
  </si>
  <si>
    <t>Kwiatkowska</t>
  </si>
  <si>
    <t>katarzyna.kwiatkowska@zhp.net.pl</t>
  </si>
  <si>
    <t>+48 502601077</t>
  </si>
  <si>
    <t>Włóczykije 1</t>
  </si>
  <si>
    <t>225 euro to be paid</t>
  </si>
  <si>
    <t xml:space="preserve">Stanisław </t>
  </si>
  <si>
    <t>Szymczykowski</t>
  </si>
  <si>
    <t>stanislaw.szymczykowski@zhp.net.pl</t>
  </si>
  <si>
    <t>+48 784118055</t>
  </si>
  <si>
    <t>Błękitny Zenit</t>
  </si>
  <si>
    <t>147 </t>
  </si>
  <si>
    <t xml:space="preserve">Iga </t>
  </si>
  <si>
    <t>Woźniak</t>
  </si>
  <si>
    <t>iga.wozniak@zhp.net.pl</t>
  </si>
  <si>
    <t>+48 516061590</t>
  </si>
  <si>
    <t>94 GDSH ,,Venga, vamos!"</t>
  </si>
  <si>
    <t>200 euro to be paid</t>
  </si>
  <si>
    <t>András</t>
  </si>
  <si>
    <t>Imregh</t>
  </si>
  <si>
    <t>Magyar Cserkészszövetség</t>
  </si>
  <si>
    <t>Budapest</t>
  </si>
  <si>
    <t>575 euro to be paid</t>
  </si>
  <si>
    <t>Rijlabels</t>
  </si>
  <si>
    <t>Eindtotaal</t>
  </si>
  <si>
    <t>Som van Number of Children</t>
  </si>
  <si>
    <t>Som van Number of Leaders</t>
  </si>
  <si>
    <t>Total</t>
  </si>
  <si>
    <t>Contingent sizes</t>
  </si>
  <si>
    <t>Delta</t>
  </si>
  <si>
    <t>Order Number2</t>
  </si>
  <si>
    <t xml:space="preserve">Subcamp </t>
  </si>
  <si>
    <t>Subcamp</t>
  </si>
  <si>
    <t>Qm</t>
  </si>
  <si>
    <t>BSO</t>
  </si>
  <si>
    <t>GB</t>
  </si>
  <si>
    <t>Slovakia</t>
  </si>
  <si>
    <t>Hungary</t>
  </si>
  <si>
    <t>add.  3 kids</t>
  </si>
  <si>
    <t>Space</t>
  </si>
  <si>
    <t>People</t>
  </si>
  <si>
    <t>Partnering with 1st Prague Scouts as we are sharing equipment - Added extra leader but if not needed will let you know. We have potential requirement for additional adult for neurodivergent kids/support driving. Rather book one extra and cancel than the other way around.</t>
  </si>
  <si>
    <t>Special need Group - part of Moppertjesmeute - no accessible Dixi needed ( Didi confirmed)</t>
  </si>
  <si>
    <t>Cildren</t>
  </si>
  <si>
    <t>Leaders</t>
  </si>
  <si>
    <t>corres.sarah@gmx.de</t>
  </si>
  <si>
    <t>Corres</t>
  </si>
  <si>
    <t>+491754170858</t>
  </si>
  <si>
    <t>scouts@sintstanislaus.nl</t>
  </si>
  <si>
    <t>Bus arrives Sunday 17:30; camp needs to be close to road</t>
  </si>
  <si>
    <t>Marinus</t>
  </si>
  <si>
    <t>Hovius</t>
  </si>
  <si>
    <t>marinusfj@gmail.com</t>
  </si>
  <si>
    <t>+31641222084</t>
  </si>
  <si>
    <t>Scouting Den Oever</t>
  </si>
  <si>
    <t>Den Oever</t>
  </si>
  <si>
    <t>simon.trousil@seznam.cz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</si>
</sst>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Calibri"/>
    </font>
    <font>
      <b/>
      <sz val="11"/>
      <name val="Calibri"/>
      <family val="2"/>
    </font>
    <font>
      <sz val="11"/>
      <name val="Calibri"/>
      <family val="2"/>
    </font>
    <font>
      <u/>
      <sz val="11"/>
      <color theme="10"/>
      <name val="Calibri"/>
      <family val="2"/>
    </font>
    <font>
      <sz val="11"/>
      <color rgb="FF000000"/>
      <name val="Calibri"/>
      <family val="2"/>
      <charset val="1"/>
    </font>
    <font>
      <sz val="11"/>
      <color rgb="FF000000"/>
      <name val="Calibri"/>
      <family val="2"/>
    </font>
    <font>
      <b/>
      <sz val="11"/>
      <name val="Calibri"/>
      <family val="2"/>
      <charset val="238"/>
    </font>
    <font>
      <sz val="11"/>
      <color theme="0"/>
      <name val="Calibri"/>
      <family val="2"/>
    </font>
    <font>
      <b/>
      <sz val="18"/>
      <color rgb="FFFF0000"/>
      <name val="Calibri"/>
      <family val="2"/>
    </font>
    <font>
      <sz val="18"/>
      <color rgb="FFFF0000"/>
      <name val="Calibri"/>
      <family val="2"/>
    </font>
    <font>
      <b/>
      <sz val="14"/>
      <color rgb="FFC00000"/>
      <name val="Calibri"/>
      <family val="2"/>
    </font>
    <font>
      <sz val="11"/>
      <name val="Calibri"/>
      <family val="2"/>
      <charset val="238"/>
    </font>
    <font>
      <b/>
      <sz val="11"/>
      <color rgb="FFC00000"/>
      <name val="Calibri"/>
      <family val="2"/>
      <charset val="238"/>
    </font>
    <font>
      <b/>
      <sz val="11"/>
      <color rgb="FFFF0000"/>
      <name val="Calibri"/>
      <family val="2"/>
      <charset val="238"/>
    </font>
    <font>
      <sz val="11"/>
      <color theme="0"/>
      <name val="Calibri"/>
      <family val="2"/>
      <charset val="238"/>
    </font>
  </fonts>
  <fills count="13">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
      <patternFill patternType="solid">
        <fgColor theme="8" tint="0.39997558519241921"/>
        <bgColor indexed="64"/>
      </patternFill>
    </fill>
    <fill>
      <patternFill patternType="solid">
        <fgColor rgb="FF00B0F0"/>
        <bgColor indexed="64"/>
      </patternFill>
    </fill>
    <fill>
      <patternFill patternType="solid">
        <fgColor theme="6" tint="0.39997558519241921"/>
        <bgColor indexed="64"/>
      </patternFill>
    </fill>
    <fill>
      <patternFill patternType="solid">
        <fgColor theme="3" tint="0.499984740745262"/>
        <bgColor indexed="64"/>
      </patternFill>
    </fill>
    <fill>
      <patternFill patternType="solid">
        <fgColor rgb="FFFF2F92"/>
        <bgColor indexed="64"/>
      </patternFill>
    </fill>
    <fill>
      <patternFill patternType="solid">
        <fgColor rgb="FF7030A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6">
    <xf numFmtId="0" fontId="0" fillId="0" borderId="0" xfId="0"/>
    <xf numFmtId="0" fontId="1" fillId="0" borderId="0" xfId="0" applyFont="1"/>
    <xf numFmtId="1" fontId="0" fillId="0" borderId="0" xfId="0" applyNumberFormat="1"/>
    <xf numFmtId="2" fontId="0" fillId="0" borderId="0" xfId="0" applyNumberFormat="1"/>
    <xf numFmtId="0" fontId="2" fillId="0" borderId="0" xfId="0" applyFont="1"/>
    <xf numFmtId="0" fontId="0" fillId="2" borderId="0" xfId="0" applyFill="1"/>
    <xf numFmtId="0" fontId="2" fillId="2" borderId="0" xfId="0" applyFont="1" applyFill="1"/>
    <xf numFmtId="0" fontId="3" fillId="0" borderId="0" xfId="1"/>
    <xf numFmtId="0" fontId="4" fillId="0" borderId="0" xfId="0" applyFont="1"/>
    <xf numFmtId="0" fontId="5" fillId="0" borderId="0" xfId="0" applyFont="1"/>
    <xf numFmtId="0" fontId="0" fillId="3" borderId="0" xfId="0" applyFill="1"/>
    <xf numFmtId="0" fontId="4" fillId="0" borderId="0" xfId="0" applyFont="1" applyAlignment="1">
      <alignment wrapText="1"/>
    </xf>
    <xf numFmtId="0" fontId="4" fillId="0" borderId="0" xfId="0" quotePrefix="1" applyFont="1"/>
    <xf numFmtId="0" fontId="0" fillId="0" borderId="0" xfId="0" pivotButton="1"/>
    <xf numFmtId="0" fontId="0" fillId="0" borderId="0" xfId="0" applyAlignment="1">
      <alignment horizontal="left"/>
    </xf>
    <xf numFmtId="0" fontId="6" fillId="0" borderId="0" xfId="0" applyFont="1"/>
    <xf numFmtId="1" fontId="0" fillId="4" borderId="0" xfId="0" applyNumberFormat="1" applyFill="1"/>
    <xf numFmtId="0" fontId="0" fillId="4" borderId="0" xfId="0" applyFill="1"/>
    <xf numFmtId="2" fontId="0" fillId="4" borderId="0" xfId="0" applyNumberFormat="1" applyFill="1"/>
    <xf numFmtId="1" fontId="0" fillId="5" borderId="0" xfId="0" applyNumberFormat="1" applyFill="1"/>
    <xf numFmtId="0" fontId="0" fillId="5" borderId="0" xfId="0" applyFill="1"/>
    <xf numFmtId="2" fontId="0" fillId="5" borderId="0" xfId="0" applyNumberFormat="1" applyFill="1"/>
    <xf numFmtId="1" fontId="0" fillId="6" borderId="0" xfId="0" applyNumberFormat="1" applyFill="1"/>
    <xf numFmtId="0" fontId="0" fillId="6" borderId="0" xfId="0" applyFill="1"/>
    <xf numFmtId="0" fontId="2" fillId="6" borderId="0" xfId="0" applyFont="1" applyFill="1"/>
    <xf numFmtId="2" fontId="0" fillId="6" borderId="0" xfId="0" applyNumberFormat="1" applyFill="1"/>
    <xf numFmtId="0" fontId="1" fillId="6" borderId="0" xfId="0" applyFont="1" applyFill="1"/>
    <xf numFmtId="0" fontId="2" fillId="4" borderId="0" xfId="0" applyFont="1" applyFill="1"/>
    <xf numFmtId="1" fontId="0" fillId="7" borderId="0" xfId="0" applyNumberFormat="1" applyFill="1"/>
    <xf numFmtId="0" fontId="0" fillId="7" borderId="0" xfId="0" applyFill="1"/>
    <xf numFmtId="0" fontId="2" fillId="7" borderId="0" xfId="0" applyFont="1" applyFill="1"/>
    <xf numFmtId="2" fontId="0" fillId="7" borderId="0" xfId="0" applyNumberFormat="1" applyFill="1"/>
    <xf numFmtId="1" fontId="0" fillId="8" borderId="0" xfId="0" applyNumberFormat="1" applyFill="1"/>
    <xf numFmtId="0" fontId="0" fillId="8" borderId="0" xfId="0" applyFill="1"/>
    <xf numFmtId="0" fontId="2" fillId="8" borderId="0" xfId="0" applyFont="1" applyFill="1"/>
    <xf numFmtId="2" fontId="0" fillId="8" borderId="0" xfId="0" applyNumberFormat="1" applyFill="1"/>
    <xf numFmtId="1" fontId="0" fillId="9" borderId="0" xfId="0" applyNumberFormat="1" applyFill="1"/>
    <xf numFmtId="0" fontId="0" fillId="9" borderId="0" xfId="0" applyFill="1"/>
    <xf numFmtId="0" fontId="2" fillId="9" borderId="0" xfId="0" applyFont="1" applyFill="1"/>
    <xf numFmtId="2" fontId="0" fillId="9" borderId="0" xfId="0" applyNumberFormat="1" applyFill="1"/>
    <xf numFmtId="1" fontId="0" fillId="3" borderId="0" xfId="0" applyNumberFormat="1" applyFill="1"/>
    <xf numFmtId="2" fontId="0" fillId="3" borderId="0" xfId="0" applyNumberFormat="1" applyFill="1"/>
    <xf numFmtId="1" fontId="0" fillId="10" borderId="0" xfId="0" applyNumberFormat="1" applyFill="1"/>
    <xf numFmtId="0" fontId="0" fillId="10" borderId="0" xfId="0" applyFill="1"/>
    <xf numFmtId="0" fontId="5" fillId="10" borderId="0" xfId="0" applyFont="1" applyFill="1"/>
    <xf numFmtId="0" fontId="4" fillId="10" borderId="0" xfId="0" applyFont="1" applyFill="1"/>
    <xf numFmtId="0" fontId="2" fillId="10" borderId="0" xfId="0" applyFont="1" applyFill="1"/>
    <xf numFmtId="2" fontId="0" fillId="10" borderId="0" xfId="0" applyNumberFormat="1" applyFill="1"/>
    <xf numFmtId="1" fontId="0" fillId="11" borderId="0" xfId="0" applyNumberFormat="1" applyFill="1"/>
    <xf numFmtId="0" fontId="0" fillId="11" borderId="0" xfId="0" applyFill="1"/>
    <xf numFmtId="0" fontId="2" fillId="11" borderId="0" xfId="0" applyFont="1" applyFill="1"/>
    <xf numFmtId="2" fontId="0" fillId="11" borderId="0" xfId="0" applyNumberFormat="1" applyFill="1"/>
    <xf numFmtId="0" fontId="4" fillId="11" borderId="0" xfId="0" applyFont="1" applyFill="1" applyAlignment="1">
      <alignment wrapText="1"/>
    </xf>
    <xf numFmtId="0" fontId="5" fillId="11" borderId="0" xfId="0" applyFont="1" applyFill="1"/>
    <xf numFmtId="0" fontId="4" fillId="11" borderId="0" xfId="0" applyFont="1" applyFill="1"/>
    <xf numFmtId="0" fontId="2" fillId="3" borderId="0" xfId="0" applyFont="1" applyFill="1"/>
    <xf numFmtId="0" fontId="2" fillId="5" borderId="0" xfId="0" applyFont="1" applyFill="1"/>
    <xf numFmtId="0" fontId="4" fillId="8" borderId="0" xfId="0" applyFont="1" applyFill="1" applyAlignment="1">
      <alignment wrapText="1"/>
    </xf>
    <xf numFmtId="0" fontId="5" fillId="8" borderId="0" xfId="0" applyFont="1" applyFill="1"/>
    <xf numFmtId="0" fontId="4" fillId="8" borderId="0" xfId="0" applyFont="1" applyFill="1"/>
    <xf numFmtId="0" fontId="7" fillId="12" borderId="0" xfId="0" applyFont="1" applyFill="1"/>
    <xf numFmtId="1" fontId="7" fillId="12" borderId="0" xfId="0" applyNumberFormat="1" applyFont="1" applyFill="1"/>
    <xf numFmtId="0" fontId="2" fillId="0" borderId="0" xfId="0" applyFont="1" applyAlignment="1">
      <alignment horizontal="left"/>
    </xf>
    <xf numFmtId="0" fontId="2" fillId="5" borderId="0" xfId="0" applyFont="1" applyFill="1" applyAlignment="1">
      <alignment vertical="top" wrapText="1"/>
    </xf>
    <xf numFmtId="0" fontId="0" fillId="5" borderId="0" xfId="0" applyFill="1" applyAlignment="1">
      <alignment vertical="top"/>
    </xf>
    <xf numFmtId="1" fontId="0" fillId="5" borderId="0" xfId="0" applyNumberFormat="1" applyFill="1" applyAlignment="1">
      <alignment vertical="top"/>
    </xf>
    <xf numFmtId="0" fontId="2" fillId="5" borderId="0" xfId="0" applyFont="1" applyFill="1" applyAlignment="1">
      <alignment vertical="top"/>
    </xf>
    <xf numFmtId="1" fontId="8" fillId="0" borderId="0" xfId="0" applyNumberFormat="1" applyFont="1" applyAlignment="1">
      <alignment vertical="top"/>
    </xf>
    <xf numFmtId="1" fontId="9" fillId="0" borderId="0" xfId="0" applyNumberFormat="1" applyFont="1"/>
    <xf numFmtId="1" fontId="10" fillId="0" borderId="0" xfId="0" applyNumberFormat="1" applyFont="1"/>
    <xf numFmtId="49" fontId="2" fillId="0" borderId="0" xfId="0" applyNumberFormat="1" applyFont="1"/>
    <xf numFmtId="0" fontId="3" fillId="6" borderId="0" xfId="1" applyFill="1"/>
    <xf numFmtId="1" fontId="11" fillId="0" borderId="0" xfId="0" applyNumberFormat="1" applyFont="1"/>
    <xf numFmtId="1" fontId="12" fillId="0" borderId="0" xfId="0" applyNumberFormat="1" applyFont="1"/>
    <xf numFmtId="1" fontId="13" fillId="0" borderId="0" xfId="0" applyNumberFormat="1" applyFont="1"/>
    <xf numFmtId="1" fontId="14" fillId="12" borderId="0" xfId="0" applyNumberFormat="1" applyFont="1" applyFill="1"/>
  </cellXfs>
  <cellStyles count="2">
    <cellStyle name="Hyperlink" xfId="1" xr:uid="{00000000-000B-0000-0000-000008000000}"/>
    <cellStyle name="Normální" xfId="0" builtinId="0"/>
  </cellStyles>
  <dxfs count="11">
    <dxf>
      <font>
        <strike val="0"/>
        <outline val="0"/>
        <shadow val="0"/>
        <u val="none"/>
        <vertAlign val="baseline"/>
        <sz val="11"/>
        <name val="Calibri"/>
        <family val="2"/>
        <charset val="238"/>
        <scheme val="none"/>
      </font>
      <numFmt numFmtId="1" formatCode="0"/>
      <fill>
        <patternFill patternType="none">
          <fgColor indexed="64"/>
          <bgColor auto="1"/>
        </patternFill>
      </fill>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rgb="FF000000"/>
        <name val="Calibri"/>
        <family val="2"/>
        <charset val="1"/>
        <scheme val="none"/>
      </font>
    </dxf>
    <dxf>
      <font>
        <b val="0"/>
        <i val="0"/>
        <strike val="0"/>
        <condense val="0"/>
        <extend val="0"/>
        <outline val="0"/>
        <shadow val="0"/>
        <u val="none"/>
        <vertAlign val="baseline"/>
        <sz val="11"/>
        <color rgb="FF000000"/>
        <name val="Calibri"/>
        <charset val="1"/>
        <scheme val="none"/>
      </font>
    </dxf>
    <dxf>
      <font>
        <b val="0"/>
        <i val="0"/>
        <strike val="0"/>
        <condense val="0"/>
        <extend val="0"/>
        <outline val="0"/>
        <shadow val="0"/>
        <u val="none"/>
        <vertAlign val="baseline"/>
        <sz val="11"/>
        <color rgb="FF000000"/>
        <name val="Calibri"/>
        <family val="2"/>
        <charset val="1"/>
        <scheme val="none"/>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none"/>
      </font>
    </dxf>
  </dxfs>
  <tableStyles count="0" defaultTableStyle="TableStyleMedium9" defaultPivotStyle="PivotStyleMedium4"/>
  <colors>
    <mruColors>
      <color rgb="FFFF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ard Janssen" refreshedDate="45764.895490625" createdVersion="8" refreshedVersion="8" minRefreshableVersion="3" recordCount="140" xr:uid="{8BA0A704-3161-46F6-BE91-FFB649A79264}">
  <cacheSource type="worksheet">
    <worksheetSource ref="A1:Y139" sheet="All Subcamps"/>
  </cacheSource>
  <cacheFields count="25">
    <cacheField name="No" numFmtId="0">
      <sharedItems containsSemiMixedTypes="0" containsString="0" containsNumber="1" containsInteger="1" minValue="1" maxValue="140"/>
    </cacheField>
    <cacheField name="First name" numFmtId="0">
      <sharedItems/>
    </cacheField>
    <cacheField name="Last name" numFmtId="0">
      <sharedItems/>
    </cacheField>
    <cacheField name="Email" numFmtId="0">
      <sharedItems containsBlank="1"/>
    </cacheField>
    <cacheField name="Mobile phone" numFmtId="0">
      <sharedItems containsBlank="1"/>
    </cacheField>
    <cacheField name="Invoice details" numFmtId="0">
      <sharedItems containsBlank="1" longText="1"/>
    </cacheField>
    <cacheField name="Country" numFmtId="0">
      <sharedItems count="8">
        <s v="The Netherlands"/>
        <s v="Guests"/>
        <s v="Germany"/>
        <s v="United States"/>
        <s v="Belgium"/>
        <s v="France"/>
        <s v="Czech Republic"/>
        <s v="Poland"/>
      </sharedItems>
    </cacheField>
    <cacheField name="Scout Association" numFmtId="0">
      <sharedItems/>
    </cacheField>
    <cacheField name="Troop name" numFmtId="0">
      <sharedItems containsBlank="1" containsMixedTypes="1" containsNumber="1" containsInteger="1" minValue="303" maxValue="303"/>
    </cacheField>
    <cacheField name="Troop organisation number" numFmtId="0">
      <sharedItems containsBlank="1" containsMixedTypes="1" containsNumber="1" minValue="1" maxValue="2020329"/>
    </cacheField>
    <cacheField name="City" numFmtId="0">
      <sharedItems/>
    </cacheField>
    <cacheField name="Number of Children" numFmtId="0">
      <sharedItems containsSemiMixedTypes="0" containsString="0" containsNumber="1" containsInteger="1" minValue="1" maxValue="48"/>
    </cacheField>
    <cacheField name="Number of Leaders" numFmtId="0">
      <sharedItems containsSemiMixedTypes="0" containsString="0" containsNumber="1" containsInteger="1" minValue="1" maxValue="9"/>
    </cacheField>
    <cacheField name="Arrival day" numFmtId="0">
      <sharedItems/>
    </cacheField>
    <cacheField name="Arrival time" numFmtId="0">
      <sharedItems/>
    </cacheField>
    <cacheField name="Departure day" numFmtId="0">
      <sharedItems/>
    </cacheField>
    <cacheField name="Departure time" numFmtId="0">
      <sharedItems/>
    </cacheField>
    <cacheField name="Further remarks (optional)" numFmtId="0">
      <sharedItems containsBlank="1" longText="1"/>
    </cacheField>
    <cacheField name="Order Number" numFmtId="0">
      <sharedItems containsBlank="1"/>
    </cacheField>
    <cacheField name="Total Costs" numFmtId="0">
      <sharedItems containsString="0" containsBlank="1" containsNumber="1" containsInteger="1" minValue="50" maxValue="1425"/>
    </cacheField>
    <cacheField name="Payment Type" numFmtId="0">
      <sharedItems containsBlank="1"/>
    </cacheField>
    <cacheField name="Registration time" numFmtId="0">
      <sharedItems containsBlank="1"/>
    </cacheField>
    <cacheField name="Order Number2" numFmtId="0">
      <sharedItems containsString="0" containsBlank="1" containsNumber="1" containsInteger="1" minValue="1732993114" maxValue="1742661930"/>
    </cacheField>
    <cacheField name="Additional registrants" numFmtId="0">
      <sharedItems containsBlank="1" containsMixedTypes="1" containsNumber="1" containsInteger="1" minValue="1" maxValue="1"/>
    </cacheField>
    <cacheField name="Comments RJ:" numFmtId="0">
      <sharedItems containsBlank="1" containsMixedTypes="1" containsNumber="1" containsInteger="1" minValue="200" maxValue="5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n v="1"/>
    <s v="Arno"/>
    <s v="Bottema"/>
    <s v="arno@scoutingmeerhoven.nl"/>
    <s v="+31622250254"/>
    <m/>
    <x v="0"/>
    <s v="Scouting Nederland"/>
    <s v="Sc.Burg.Welschen Meerhoven"/>
    <n v="3097"/>
    <s v="Eindhoven"/>
    <n v="36"/>
    <n v="6"/>
    <s v="Friday"/>
    <s v="12:00 - 15:00"/>
    <s v="Monday"/>
    <s v="12:00 - 15:00"/>
    <m/>
    <s v="IST-90673"/>
    <n v="1050"/>
    <s v="Mollie"/>
    <s v="2024-11-30 18:58:34"/>
    <n v="1732993114"/>
    <m/>
    <m/>
  </r>
  <r>
    <n v="2"/>
    <s v="Frans"/>
    <s v="Lenders"/>
    <s v="franslenders@home.nl"/>
    <s v="+31621857140"/>
    <m/>
    <x v="0"/>
    <s v="Scouting Nederland"/>
    <s v="St. Rumoldus"/>
    <n v="1454"/>
    <s v="Weert"/>
    <n v="16"/>
    <n v="4"/>
    <s v="Friday"/>
    <s v="12:00 - 15:00"/>
    <s v="Monday"/>
    <s v="12:00 - 15:00"/>
    <m/>
    <s v="IST-75688"/>
    <n v="500"/>
    <s v="Mollie"/>
    <s v="2024-11-30 19:07:13"/>
    <n v="1732993633"/>
    <m/>
    <m/>
  </r>
  <r>
    <n v="3"/>
    <s v="Arno"/>
    <s v="van As"/>
    <s v="arno.van.as@hotmail.com"/>
    <s v="+31628679230"/>
    <m/>
    <x v="0"/>
    <s v="Scouting Nederland"/>
    <s v="Scouting Ewijk"/>
    <n v="1228"/>
    <s v="Ewijk"/>
    <n v="18"/>
    <n v="5"/>
    <s v="Friday"/>
    <s v="12:00 - 15:00"/>
    <s v="Monday"/>
    <s v="12:00 - 15:00"/>
    <m/>
    <s v="IST-97382"/>
    <n v="575"/>
    <s v="Mollie"/>
    <s v="2024-11-30 19:11:58"/>
    <n v="1732993918"/>
    <m/>
    <m/>
  </r>
  <r>
    <n v="4"/>
    <s v="Ricardo"/>
    <s v="Laurens"/>
    <s v="r.laurens.1995@gmail.com"/>
    <s v="+31621642397"/>
    <m/>
    <x v="0"/>
    <s v="Scouting Nederland"/>
    <s v="St.Scouting Saffatin Maurik"/>
    <n v="1215"/>
    <s v="Maurik"/>
    <n v="12"/>
    <n v="3"/>
    <s v="Friday"/>
    <s v="12:00 - 15:00"/>
    <s v="Monday"/>
    <s v="12:00 - 15:00"/>
    <m/>
    <s v="IST-85959"/>
    <n v="375"/>
    <s v="Mollie"/>
    <s v="2024-11-30 19:14:24"/>
    <n v="1732994065"/>
    <m/>
    <m/>
  </r>
  <r>
    <n v="5"/>
    <s v="Bob"/>
    <s v="Lelieveld"/>
    <s v="boblelieveld@gmail.com"/>
    <s v="+31627145802"/>
    <m/>
    <x v="0"/>
    <s v="Scouting Nederland"/>
    <s v="Scouting Uotha"/>
    <n v="1737"/>
    <s v="Uden"/>
    <n v="32"/>
    <n v="4"/>
    <s v="Friday"/>
    <s v="12:00 - 15:00"/>
    <s v="Monday"/>
    <s v="12:00 - 15:00"/>
    <m/>
    <s v="IST-11233"/>
    <n v="900"/>
    <s v="Mollie"/>
    <s v="2024-11-30 19:30:16"/>
    <n v="1732995016"/>
    <m/>
    <m/>
  </r>
  <r>
    <n v="6"/>
    <s v="Juriaan"/>
    <s v="Adams"/>
    <s v="juriaan.adams@scoutingamby.nl"/>
    <s v="+31621685513"/>
    <m/>
    <x v="0"/>
    <s v="Scouting Nederland"/>
    <s v="Intercamp Nederland"/>
    <n v="9133"/>
    <s v="Sittard"/>
    <n v="7"/>
    <n v="4"/>
    <s v="Friday"/>
    <s v="12:00 - 15:00"/>
    <s v="Monday"/>
    <s v="12:00 - 15:00"/>
    <s v="Special need Group"/>
    <s v="IST-70768"/>
    <n v="275"/>
    <s v="Mollie"/>
    <s v="2024-11-30 19:38:53"/>
    <n v="1732995533"/>
    <m/>
    <m/>
  </r>
  <r>
    <n v="7"/>
    <s v="Eric-Jan"/>
    <s v="Grondstra"/>
    <s v="e.j.grondstra@gmail.com"/>
    <s v="+31621504255"/>
    <m/>
    <x v="0"/>
    <s v="Scouting Nederland"/>
    <s v="Scouting Polaris"/>
    <n v="129776"/>
    <s v="Heereveen"/>
    <n v="19"/>
    <n v="5"/>
    <s v="Friday"/>
    <s v="12:00 - 15:00"/>
    <s v="Monday"/>
    <s v="12:00 - 15:00"/>
    <m/>
    <s v="IST-19148"/>
    <n v="600"/>
    <s v="Mollie"/>
    <s v="2024-11-30 19:42:53"/>
    <n v="1732995773"/>
    <m/>
    <m/>
  </r>
  <r>
    <n v="8"/>
    <s v="Peter"/>
    <s v="de Graag"/>
    <s v="peterdegraag@hotmail.com"/>
    <s v="+31683644415"/>
    <m/>
    <x v="0"/>
    <s v="Scouting Nederland"/>
    <s v="Marnix van Sint Aldegonde"/>
    <n v="2085"/>
    <s v="Vlaardingen"/>
    <n v="5"/>
    <n v="2"/>
    <s v="Friday"/>
    <s v="12:00 - 15:00"/>
    <s v="Monday"/>
    <s v="12:00 - 15:00"/>
    <m/>
    <s v="IST-15785"/>
    <n v="175"/>
    <s v="Mollie"/>
    <s v="2024-11-30 19:45:35"/>
    <n v="1732995935"/>
    <m/>
    <m/>
  </r>
  <r>
    <n v="9"/>
    <s v="Frans"/>
    <s v="Nieuwenhuys"/>
    <s v="f.nieuwenhuys@gmail.com"/>
    <s v="+31646337186"/>
    <m/>
    <x v="0"/>
    <s v="Scouting Nederland"/>
    <s v="Scouting St. Martinus"/>
    <n v="1606"/>
    <s v="Zaltbommel"/>
    <n v="7"/>
    <n v="3"/>
    <s v="Friday"/>
    <s v="12:00 - 15:00"/>
    <s v="Monday"/>
    <s v="12:00 - 15:00"/>
    <m/>
    <s v="IST-21266"/>
    <n v="250"/>
    <s v="Mollie"/>
    <s v="2024-11-30 19:48:36"/>
    <n v="1732996116"/>
    <m/>
    <m/>
  </r>
  <r>
    <n v="10"/>
    <s v="Gun"/>
    <s v="Holtackers"/>
    <s v="gun@hubovra.nl"/>
    <s v="+31622090428"/>
    <m/>
    <x v="0"/>
    <s v="Scouting Nederland"/>
    <s v="Scouting Hubovra"/>
    <n v="1452"/>
    <s v="Weert"/>
    <n v="22"/>
    <n v="5"/>
    <s v="Friday"/>
    <s v="12:00 - 15:00"/>
    <s v="Monday"/>
    <s v="12:00 - 15:00"/>
    <m/>
    <s v="IST-10618"/>
    <n v="675"/>
    <s v="Mollie"/>
    <s v="2024-11-30 19:50:43"/>
    <n v="1732996243"/>
    <m/>
    <m/>
  </r>
  <r>
    <n v="11"/>
    <s v="Doortje"/>
    <s v="Tiedink"/>
    <s v="Doortjetiedink1@icloud.com"/>
    <s v="+31628184483"/>
    <m/>
    <x v="0"/>
    <s v="Scouting Nederland"/>
    <s v="Scouting Groessen"/>
    <n v="1271"/>
    <s v="Groessen"/>
    <n v="23"/>
    <n v="5"/>
    <s v="Friday"/>
    <s v="12:00 - 15:00"/>
    <s v="Monday"/>
    <s v="12:00 - 15:00"/>
    <m/>
    <s v="IST-13152"/>
    <n v="700"/>
    <s v="Mollie"/>
    <s v="2024-11-30 19:55:52"/>
    <n v="1732996552"/>
    <m/>
    <m/>
  </r>
  <r>
    <n v="12"/>
    <s v="Joey"/>
    <s v="Gelissen"/>
    <s v="joeygelissen@outlook.com"/>
    <s v="+31645816844"/>
    <m/>
    <x v="0"/>
    <s v="Scouting Nederland"/>
    <s v="Scouting St. Martinus Beek"/>
    <n v="1415"/>
    <s v="Beek (L)"/>
    <n v="29"/>
    <n v="6"/>
    <s v="Friday"/>
    <s v="15:00 - 18:00"/>
    <s v="Monday"/>
    <s v="12:00 - 15:00"/>
    <m/>
    <s v="IST-10208"/>
    <n v="875"/>
    <s v="Mollie"/>
    <s v="2024-11-30 19:59:14"/>
    <n v="1732996754"/>
    <m/>
    <m/>
  </r>
  <r>
    <n v="13"/>
    <s v="Jorn"/>
    <s v="Weijs"/>
    <s v="jorn.weijs1997@live.nl"/>
    <s v="+31620385792"/>
    <m/>
    <x v="0"/>
    <s v="Scouting Nederland"/>
    <s v="De Peelspeurders"/>
    <n v="1475"/>
    <s v="Venray"/>
    <n v="40"/>
    <n v="8"/>
    <s v="Friday"/>
    <s v="12:00 - 15:00"/>
    <s v="Monday"/>
    <s v="12:00 - 15:00"/>
    <m/>
    <s v="IST-27230"/>
    <n v="1200"/>
    <s v="Mollie"/>
    <s v="2024-11-30 20:01:30"/>
    <n v="1732996890"/>
    <m/>
    <m/>
  </r>
  <r>
    <n v="14"/>
    <s v="Anniek"/>
    <s v="van den Hurk"/>
    <s v="anniekvdhurk@gmail.com"/>
    <s v="+31611335004"/>
    <m/>
    <x v="0"/>
    <s v="Scouting Nederland"/>
    <s v="St. Stanislaus"/>
    <n v="1208"/>
    <s v="Culemborg"/>
    <n v="25"/>
    <n v="5"/>
    <s v="Friday"/>
    <s v="12:00 - 15:00"/>
    <s v="Monday"/>
    <s v="12:00 - 15:00"/>
    <m/>
    <s v="IST-49187"/>
    <n v="750"/>
    <s v="Mollie"/>
    <s v="2024-11-30 20:03:58"/>
    <n v="1732997038"/>
    <m/>
    <m/>
  </r>
  <r>
    <n v="15"/>
    <s v="Luuk"/>
    <s v="Philipsen"/>
    <s v="luukphilipsen8@gmail.com"/>
    <s v="+31631525507"/>
    <m/>
    <x v="0"/>
    <s v="Scouting Nederland"/>
    <s v="Scoutinggroep de Meuleberg"/>
    <n v="1476"/>
    <s v="Blitterswijck"/>
    <n v="17"/>
    <n v="4"/>
    <s v="Friday"/>
    <s v="12:00 - 15:00"/>
    <s v="Monday"/>
    <s v="12:00 - 15:00"/>
    <m/>
    <s v="IST-17335"/>
    <n v="525"/>
    <s v="Mollie"/>
    <s v="2024-11-30 20:06:25"/>
    <n v="1732997185"/>
    <m/>
    <m/>
  </r>
  <r>
    <n v="16"/>
    <s v="Vladimir"/>
    <s v="Bilek"/>
    <s v="v.bilek@email.cz"/>
    <s v="+352621277044"/>
    <s v="same as above"/>
    <x v="1"/>
    <s v="Guests"/>
    <s v="Telstar scouts international"/>
    <n v="12345"/>
    <s v="Luxembourg"/>
    <n v="30"/>
    <n v="5"/>
    <s v="Friday"/>
    <s v="18:00 - 21:00"/>
    <s v="Monday"/>
    <s v="09:00 - 12:00"/>
    <m/>
    <s v="IST-23477"/>
    <n v="875"/>
    <s v="Mollie"/>
    <s v="2024-11-30 23:10:24"/>
    <n v="1733008224"/>
    <m/>
    <m/>
  </r>
  <r>
    <n v="17"/>
    <s v="Christopher"/>
    <s v="Wait"/>
    <s v="waitchris0103@gmail.com"/>
    <s v="+420777216228"/>
    <s v="1st Prague (Czech Republic) Scout Group z.s. – British Scouting Overseas  Pod pekárnami 251/4, Vysočany, 190 00 Praha 9  ICO: 04755057"/>
    <x v="1"/>
    <s v="Choose..."/>
    <s v="1st Prague Scouts"/>
    <s v="04755057"/>
    <s v="Prague"/>
    <n v="29"/>
    <n v="6"/>
    <s v="Friday"/>
    <s v="09:00 - 12:00"/>
    <s v="Monday"/>
    <s v="12:00 - 15:00"/>
    <m/>
    <s v="IST-11133"/>
    <n v="875"/>
    <s v="Mollie"/>
    <s v="2024-11-30 23:10:31"/>
    <n v="1733008231"/>
    <m/>
    <m/>
  </r>
  <r>
    <n v="18"/>
    <s v="Nigel"/>
    <s v="Fleetwood"/>
    <s v="agsl2-6thgosport@gosportscouts.org.uk"/>
    <s v="+447812674516"/>
    <s v="6th Gosport Air Scout Group"/>
    <x v="1"/>
    <s v="The Scout Association"/>
    <s v="6th Gosport Air Scout Group"/>
    <s v="6th"/>
    <s v="Gosport"/>
    <n v="17"/>
    <n v="5"/>
    <s v="Friday"/>
    <s v="12:00 - 15:00"/>
    <s v="Monday"/>
    <s v="12:00 - 15:00"/>
    <m/>
    <s v="IST-11133"/>
    <n v="550"/>
    <s v="Mollie"/>
    <s v="2024-11-30 23:11:03"/>
    <n v="1733008263"/>
    <m/>
    <m/>
  </r>
  <r>
    <n v="19"/>
    <s v="Caroline"/>
    <s v="Pintsch"/>
    <s v="caroline@pintsch.de"/>
    <s v="+4915786783461"/>
    <m/>
    <x v="2"/>
    <s v="Deutsche Pfadfinderschaft Sankt Georg"/>
    <s v="DPSG Stamm Alzenau"/>
    <n v="2020329"/>
    <s v="Alzenau"/>
    <n v="17"/>
    <n v="4"/>
    <s v="Friday"/>
    <s v="15:00 - 18:00"/>
    <s v="Monday"/>
    <s v="12:00 - 15:00"/>
    <m/>
    <s v="IST-23477"/>
    <n v="525"/>
    <s v="Mollie"/>
    <s v="2024-11-30 23:13:25"/>
    <n v="1733008405"/>
    <m/>
    <m/>
  </r>
  <r>
    <n v="20"/>
    <s v="Jonas"/>
    <s v="Spinczyk"/>
    <s v="Jonas.spinczyk@rdp-bund.de"/>
    <s v="+491621979714"/>
    <m/>
    <x v="2"/>
    <s v="Deutsche Pfadfinderschaft Sankt Georg"/>
    <s v="DPSG Kempen"/>
    <s v="01/02/12"/>
    <s v="Kempen"/>
    <n v="21"/>
    <n v="5"/>
    <s v="Friday"/>
    <s v="15:00 - 18:00"/>
    <s v="Monday"/>
    <s v="09:00 - 12:00"/>
    <s v="We need one more scout leader, because of a disabled participant."/>
    <s v="IST-11133"/>
    <n v="650"/>
    <s v="Mollie"/>
    <s v="2024-11-30 23:17:00"/>
    <n v="1733008620"/>
    <m/>
    <m/>
  </r>
  <r>
    <n v="21"/>
    <s v="Des"/>
    <s v="Mahon"/>
    <s v="des.mahon@arrowscouts.org.uk"/>
    <s v="+447809149414"/>
    <s v="Des Mahon 3rd Chandlers Ford Scouts  Arrow District"/>
    <x v="1"/>
    <s v="British Guides In Foreign Countrys"/>
    <s v="3rd Chandler’s Ford"/>
    <s v="3rd"/>
    <s v="Chandler’s Ford"/>
    <n v="6"/>
    <n v="2"/>
    <s v="Friday"/>
    <s v="15:00 - 18:00"/>
    <s v="Monday"/>
    <s v="09:00 - 12:00"/>
    <s v="Partnering with 1st Prague Scouts as we are sharing equipment"/>
    <s v="IST-11133"/>
    <n v="200"/>
    <s v="Mollie"/>
    <s v="2024-11-30 23:26:03"/>
    <n v="1733009163"/>
    <m/>
    <m/>
  </r>
  <r>
    <n v="22"/>
    <s v="Robin"/>
    <s v="Bandini"/>
    <s v="vorstand@pfadfinder-bammental.de"/>
    <s v="+491627911091"/>
    <m/>
    <x v="2"/>
    <s v="Deutsche Pfadfinderschaft Sankt Georg"/>
    <s v="Stamm Karl Leisner"/>
    <n v="3363"/>
    <s v="Bammental"/>
    <n v="14"/>
    <n v="3"/>
    <s v="Friday"/>
    <s v="18:00 - 21:00"/>
    <s v="Monday"/>
    <s v="12:00 - 15:00"/>
    <m/>
    <s v="IST-11133"/>
    <n v="425"/>
    <s v="Mollie"/>
    <s v="2024-11-30 23:33:26"/>
    <n v="1733009606"/>
    <m/>
    <m/>
  </r>
  <r>
    <n v="23"/>
    <s v="Sebastian"/>
    <s v="Kiwitt"/>
    <s v="s-kiwitt@outlook.de"/>
    <s v="+4917622228294"/>
    <s v="Sebastian Kiwitt DPSG Stamm St. Viktor Xanten Schwarzer Weg 10 46509 Xanten"/>
    <x v="2"/>
    <s v="Deutsche Pfadfinderschaft Sankt Georg"/>
    <s v="DPSG Stamm St. Viktor Xanten"/>
    <n v="140101"/>
    <s v="Xanten"/>
    <n v="27"/>
    <n v="7"/>
    <s v="Friday"/>
    <s v="12:00 - 15:00"/>
    <s v="Monday"/>
    <s v="12:00 - 15:00"/>
    <s v="We need more Leeders, because we come with two Leeder by Car and the  others with the Kids by Train. And I think Four Leeders with 27 Kids is not so safety. I hope this is Ok for you. Thank you. Best regards Sebastian"/>
    <s v="IST-11133"/>
    <n v="850"/>
    <s v="Mollie"/>
    <s v="2024-11-30 23:36:13"/>
    <n v="1733009773"/>
    <m/>
    <m/>
  </r>
  <r>
    <n v="24"/>
    <s v="Martin"/>
    <s v="Babst"/>
    <s v="martin.babst@web.de"/>
    <s v="+4915126957577"/>
    <m/>
    <x v="2"/>
    <s v="Deutsche Pfadfinderschaft Sankt Georg"/>
    <s v="Maximilan Kolbe Lammersdorf"/>
    <s v="010607"/>
    <s v="Aachen"/>
    <n v="48"/>
    <n v="9"/>
    <s v="Friday"/>
    <s v="12:00 - 15:00"/>
    <s v="Monday"/>
    <s v="12:00 - 15:00"/>
    <m/>
    <s v="IST-11133"/>
    <n v="1425"/>
    <s v="Mollie"/>
    <s v="2024-12-01 00:20:50"/>
    <n v="1733012451"/>
    <m/>
    <m/>
  </r>
  <r>
    <n v="25"/>
    <s v="Daniela"/>
    <s v="Kouril"/>
    <s v="daniela@cityscouts.org"/>
    <s v="+491605807584"/>
    <s v="Falls Julia vom Dorp dieses Jahr in einem Subcampteam ist, möchten wir gerne in ihr Subcamp. Sie ist Leiterin in unserem Stamm."/>
    <x v="2"/>
    <s v="Deutsche Pfadfinderschaft Sankt Georg"/>
    <s v="Stamm Cityscouts"/>
    <s v="010304"/>
    <s v="Mönchengladbach"/>
    <n v="27"/>
    <n v="6"/>
    <s v="Friday"/>
    <s v="12:00 - 15:00"/>
    <s v="Monday"/>
    <s v="12:00 - 15:00"/>
    <m/>
    <s v="IST-11133"/>
    <n v="825"/>
    <s v="Mollie"/>
    <s v="2024-12-01 00:21:33"/>
    <n v="1733012493"/>
    <m/>
    <m/>
  </r>
  <r>
    <n v="26"/>
    <s v="Jan"/>
    <s v="Van den Brakel"/>
    <s v="jbrl@cbs.nl"/>
    <s v="+31"/>
    <s v="I will pay via banktransfer."/>
    <x v="2"/>
    <s v="Deutsche Pfadfinderschaft Sankt Georg"/>
    <s v="St Nikolaus Gangelt"/>
    <s v="010403"/>
    <s v="Gangelt"/>
    <n v="12"/>
    <n v="4"/>
    <s v="Friday"/>
    <s v="12:00 - 15:00"/>
    <s v="Please select"/>
    <s v="12:00 - 15:00"/>
    <s v="WE need four leaders for transportation."/>
    <s v="IST-41645"/>
    <n v="400"/>
    <s v="Mollie"/>
    <s v="2024-12-01 09:32:32"/>
    <n v="1733045552"/>
    <m/>
    <m/>
  </r>
  <r>
    <n v="27"/>
    <s v="Mattie"/>
    <s v="Coolen"/>
    <s v="mattie.coolen@bluewin.ch"/>
    <s v="+41792585330"/>
    <m/>
    <x v="3"/>
    <s v="Boy Scouts of America - Transatlantic Council"/>
    <s v="Troop 681 Basel"/>
    <s v="0681"/>
    <s v="Basel"/>
    <n v="15"/>
    <n v="5"/>
    <s v="Friday"/>
    <s v="18:00 - 21:00"/>
    <s v="Monday"/>
    <s v="09:00 - 12:00"/>
    <s v="We have 4 Adults signed up as we need drivers for our scouts and the equipment.  We have one additional Adult, Andrew Wright &lt;andrewwright675@btinternet.com&gt;. For the past two Intercamps, Andrew served in the TAC trading post. At the moment it is not clear that the trading post will be at Intercamp or if he will be asked to serve. However, he would like to attend the event and we are willing to host him. He will be traveling from and to Basel with us."/>
    <s v="IST-19768"/>
    <n v="500"/>
    <s v="Mollie"/>
    <s v="2024-12-01 10:01:44"/>
    <n v="1733047304"/>
    <n v="1"/>
    <s v="Payment link sent"/>
  </r>
  <r>
    <n v="28"/>
    <s v="Katharina"/>
    <s v="Wenderott"/>
    <s v="k.wenderott@paderborn.com"/>
    <s v="+4915750634181"/>
    <s v="Pastoralbüro An St. Marien DPSG Phönix Bonn Heerstraße 128 53111 Bonn  lea@dpsg-phoenix.net"/>
    <x v="2"/>
    <s v="Deutsche Pfadfinderschaft Sankt Georg"/>
    <s v="DPSG Phönix Bonn"/>
    <s v="10/12/03"/>
    <s v="Bonn"/>
    <n v="26"/>
    <n v="6"/>
    <s v="Friday"/>
    <s v="18:00 - 21:00"/>
    <s v="Monday"/>
    <s v="09:00 - 12:00"/>
    <m/>
    <s v="IST-13423"/>
    <n v="800"/>
    <s v="Mollie"/>
    <s v="2024-12-01 12:09:38"/>
    <n v="1733054978"/>
    <m/>
    <m/>
  </r>
  <r>
    <n v="29"/>
    <s v="Markus"/>
    <s v="Macherey"/>
    <s v="markus@pfadfinder-erkelenz.de"/>
    <s v="+491754170856"/>
    <m/>
    <x v="2"/>
    <s v="Deutsche Pfadfinderschaft Sankt Georg"/>
    <s v="Pfadfinder Erkelenz"/>
    <s v="010413"/>
    <s v="Erkelenz"/>
    <n v="25"/>
    <n v="5"/>
    <s v="Friday"/>
    <s v="15:00 - 18:00"/>
    <s v="Monday"/>
    <s v="09:00 - 12:00"/>
    <m/>
    <s v="IST-17411"/>
    <n v="750"/>
    <s v="Mollie"/>
    <s v="2024-12-01 12:15:33"/>
    <n v="1733055333"/>
    <m/>
    <m/>
  </r>
  <r>
    <n v="30"/>
    <s v="Jonathan"/>
    <s v="Copner"/>
    <s v="jon.copner@britishscoutingoverseas.org.uk"/>
    <s v="+32"/>
    <s v="Grootveldlaan 12, 3080 Tervuren, Belgium"/>
    <x v="4"/>
    <s v="Other Association"/>
    <s v="Brussels Explorers"/>
    <s v="FOS111"/>
    <s v="Tervuren"/>
    <n v="12"/>
    <n v="3"/>
    <s v="Friday"/>
    <s v="18:00 - 21:00"/>
    <s v="Monday"/>
    <s v="12:00 - 15:00"/>
    <s v="3 leaders - 3 vehicles required"/>
    <s v="IST-95976"/>
    <n v="375"/>
    <s v="Mollie"/>
    <s v="2024-12-01 12:56:03"/>
    <n v="1733057763"/>
    <m/>
    <m/>
  </r>
  <r>
    <n v="31"/>
    <s v="Sarah"/>
    <s v="Parks"/>
    <s v="parks.sarah@gmail.com"/>
    <s v="+4915151847115"/>
    <m/>
    <x v="3"/>
    <s v="Girl Scouts of the USA"/>
    <s v="Girl Scouts of the USA"/>
    <s v="Stuttgart"/>
    <s v="Stuttgart"/>
    <n v="34"/>
    <n v="7"/>
    <s v="Friday"/>
    <s v="15:00 - 18:00"/>
    <s v="Monday"/>
    <s v="09:00 - 12:00"/>
    <s v="Because we have several troops combining for the Stuttgart Girl Scouts in order to have at least 1 adult from each troop present, we  have 7 adults  even though we have 34 girls.  If we did not combine together our organization would require 2 adults per troop attending which would be 12 adults for the same number of girls.  By coming as 1 group we reduce the number of adults we need. We have the following troop numbers attending combined in 1 group from Stuttgart: 53507, 53514, 53520, 53509, 53530. 53560."/>
    <s v="IST-87889"/>
    <n v="1025"/>
    <s v="Mollie"/>
    <s v="2024-12-01 13:57:29"/>
    <n v="1733061449"/>
    <m/>
    <m/>
  </r>
  <r>
    <n v="32"/>
    <s v="Alyson"/>
    <s v="Thompson"/>
    <s v="alysonmthompson@gmail.com"/>
    <s v="+1"/>
    <m/>
    <x v="3"/>
    <s v="Boy Scouts of America - Transatlantic Council"/>
    <s v="1920G- Boy Scouts of America"/>
    <s v="1920G"/>
    <s v="Ramstein AB"/>
    <n v="15"/>
    <n v="3"/>
    <s v="Friday"/>
    <s v="18:00 - 21:00"/>
    <s v="Monday"/>
    <s v="12:00 - 15:00"/>
    <s v="This is a female troop, so I am requesting attendance for the scoutmaster (male), assistant scoutmaster (male), and a female adult."/>
    <s v="IST-64029"/>
    <n v="300"/>
    <s v="Mollie"/>
    <s v="2024-12-01 18:15:56"/>
    <n v="1733076956"/>
    <s v="Need to pay for 6 extra scouts"/>
    <m/>
  </r>
  <r>
    <n v="33"/>
    <s v="Joseph"/>
    <s v="Monk"/>
    <s v="joe.monk@britishscoutingoverseas.org.uk"/>
    <s v="+32484266960"/>
    <m/>
    <x v="4"/>
    <s v="FOS Open Scouting"/>
    <s v="Central Brussels Scouts"/>
    <s v="112e"/>
    <s v="Brussels"/>
    <n v="15"/>
    <n v="5"/>
    <s v="Friday"/>
    <s v="21:00 - 00:00"/>
    <s v="Monday"/>
    <s v="15:00 - 18:00"/>
    <s v="Arrival and Departure times are estimates.  2 additional Scouters needed due to logistical requirements to transport youth and equipment."/>
    <s v="IST-18979"/>
    <n v="500"/>
    <s v="Mollie"/>
    <s v="2024-12-02 09:42:04"/>
    <n v="1733132524"/>
    <m/>
    <m/>
  </r>
  <r>
    <n v="34"/>
    <s v="Svenja"/>
    <s v="Walter"/>
    <s v="svenjawalter95@web.de"/>
    <s v="+491741021155"/>
    <m/>
    <x v="2"/>
    <s v="Deutsche Pfadfinderschaft Sankt Georg"/>
    <s v="DPSG Obertürkheim Stamm St.  Franziskus"/>
    <s v="19/01/01"/>
    <s v="Stuttgart"/>
    <n v="5"/>
    <n v="3"/>
    <s v="Friday"/>
    <s v="12:00 - 15:00"/>
    <s v="Monday"/>
    <s v="12:00 - 15:00"/>
    <m/>
    <s v="IST-10640"/>
    <n v="200"/>
    <s v="Mollie"/>
    <s v="2024-12-02 10:28:28"/>
    <n v="1733135308"/>
    <m/>
    <m/>
  </r>
  <r>
    <n v="35"/>
    <s v="Lale"/>
    <s v="Akman"/>
    <s v="laleakman@yahoo.de"/>
    <s v="+4917684098636"/>
    <s v="Eichendorffstraße 8, 68167 Mannheim"/>
    <x v="2"/>
    <s v="Deutsche Pfadfinderschaft Sankt Georg"/>
    <s v="St. Bernhard"/>
    <s v="070101"/>
    <s v="Mannheim"/>
    <n v="15"/>
    <n v="4"/>
    <s v="Friday"/>
    <s v="12:00 - 15:00"/>
    <s v="Monday"/>
    <s v="15:00 - 18:00"/>
    <m/>
    <s v="IST-17058"/>
    <n v="475"/>
    <s v="Mollie"/>
    <s v="2024-12-02 18:01:18"/>
    <n v="1733162478"/>
    <m/>
    <m/>
  </r>
  <r>
    <n v="36"/>
    <s v="Fabian"/>
    <s v="Berger"/>
    <s v="bigberger@gmx.de"/>
    <s v="+4917620771317"/>
    <m/>
    <x v="2"/>
    <s v="Deutsche Pfadfinderschaft Sankt Georg"/>
    <s v="DPSG Stamm Cherusker"/>
    <s v="0007010300"/>
    <s v="Laudenbach"/>
    <n v="13"/>
    <n v="2"/>
    <s v="Friday"/>
    <s v="15:00 - 18:00"/>
    <s v="Monday"/>
    <s v="12:00 - 15:00"/>
    <m/>
    <s v="IST-18820"/>
    <n v="375"/>
    <s v="Mollie"/>
    <s v="2024-12-02 18:30:47"/>
    <n v="1733164247"/>
    <m/>
    <m/>
  </r>
  <r>
    <n v="37"/>
    <s v="Malte"/>
    <s v="Grönemann"/>
    <s v="malte.groenemann@dpsg-friedrichsfeld.de"/>
    <s v="+4917641629411"/>
    <m/>
    <x v="2"/>
    <s v="Deutsche Pfadfinderschaft Sankt Georg"/>
    <s v="DPSG St. Bonifatius Mannheim"/>
    <s v="070106"/>
    <s v="Mannheim"/>
    <n v="6"/>
    <n v="2"/>
    <s v="Friday"/>
    <s v="18:00 - 21:00"/>
    <s v="Monday"/>
    <s v="12:00 - 15:00"/>
    <m/>
    <s v="IST-96584"/>
    <n v="200"/>
    <s v="Mollie"/>
    <s v="2024-12-02 18:49:22"/>
    <n v="1733165362"/>
    <m/>
    <m/>
  </r>
  <r>
    <n v="38"/>
    <s v="Sven"/>
    <s v="Mühlen"/>
    <s v="sven@dpsgwegberg.de"/>
    <s v="+4917696819125"/>
    <s v="DPSG Wegberg"/>
    <x v="2"/>
    <s v="Deutsche Pfadfinderschaft Sankt Georg"/>
    <s v="DPSG Wegberg"/>
    <s v="0001041000"/>
    <s v="Wegberg"/>
    <n v="30"/>
    <n v="6"/>
    <s v="Friday"/>
    <s v="18:00 - 21:00"/>
    <s v="Monday"/>
    <s v="09:00 - 12:00"/>
    <m/>
    <s v="IST-46593"/>
    <n v="900"/>
    <s v="Mollie"/>
    <s v="2024-12-02 20:03:36"/>
    <n v="1733169816"/>
    <m/>
    <m/>
  </r>
  <r>
    <n v="39"/>
    <s v="Fabian"/>
    <s v="Dietzmann"/>
    <s v="fabian.dietzmann@gmail.com"/>
    <s v="+4917643431461"/>
    <m/>
    <x v="2"/>
    <s v="Deutsche Pfadfinderschaft Sankt Georg"/>
    <s v="Stamm von Berg"/>
    <s v="0010010100"/>
    <s v="Solingen"/>
    <n v="22"/>
    <n v="5"/>
    <s v="Friday"/>
    <s v="15:00 - 18:00"/>
    <s v="Monday"/>
    <s v="09:00 - 12:00"/>
    <m/>
    <s v="IST-31582"/>
    <n v="675"/>
    <s v="Mollie"/>
    <s v="2024-12-02 21:07:13"/>
    <n v="1733173633"/>
    <m/>
    <m/>
  </r>
  <r>
    <n v="40"/>
    <s v="Anna-Maria"/>
    <s v="Aggelakos"/>
    <s v="anna.aggelakos@hotmail.de"/>
    <s v="+491722940241"/>
    <s v="Empfänger: Freundes- u. Förderverein des Stammes Sr. Felicitas HD-Zgh e.V. IBAN: DE28 6709 2300 0033 1350 92 BIC: GENODE61WNM Bank: Volksbank Kurpfalz eG"/>
    <x v="2"/>
    <s v="Deutsche Pfadfinderschaft Sankt Georg"/>
    <s v="Stamm Schwester Felicitas Ziegelhausen"/>
    <s v="DPSG Schwester Felicitas Ziegelhausen"/>
    <s v="Heidelberg"/>
    <n v="12"/>
    <n v="3"/>
    <s v="Friday"/>
    <s v="15:00 - 18:00"/>
    <s v="Monday"/>
    <s v="12:00 - 15:00"/>
    <m/>
    <s v="IST-12782"/>
    <n v="375"/>
    <s v="Mollie"/>
    <s v="2024-12-02 22:20:06"/>
    <n v="1733178006"/>
    <m/>
    <m/>
  </r>
  <r>
    <n v="41"/>
    <s v="Wolfgang"/>
    <s v="Otto"/>
    <s v="scouterwolfgang@aol.com"/>
    <s v="+4915753131324"/>
    <m/>
    <x v="2"/>
    <s v="Deutsche Pfadfinderschaft Sankt Georg"/>
    <s v="DPSG Moers St. Josef"/>
    <s v="14/08/01"/>
    <s v="Moers"/>
    <n v="5"/>
    <n v="1"/>
    <s v="Friday"/>
    <s v="18:00 - 21:00"/>
    <s v="Monday"/>
    <s v="09:00 - 12:00"/>
    <m/>
    <s v="IST-80873"/>
    <n v="150"/>
    <s v="Mollie"/>
    <s v="2024-12-03 22:28:03"/>
    <n v="1733264883"/>
    <m/>
    <m/>
  </r>
  <r>
    <n v="42"/>
    <s v="Lynn"/>
    <s v="Millard"/>
    <s v="lynn.millard@britishscoutingoverseas.org.uk"/>
    <s v="+33637844303"/>
    <m/>
    <x v="5"/>
    <s v="Other Association"/>
    <s v="1st Maisons-Laffitte International"/>
    <s v="lynn burns nutrition"/>
    <s v="Maisons-Laffitte"/>
    <n v="10"/>
    <n v="3"/>
    <s v="Friday"/>
    <s v="21:00 - 00:00"/>
    <s v="Monday"/>
    <s v="12:00 - 15:00"/>
    <s v="Added extra leader but if not needed will let you know. We have potential requirement for additional adult for neurodivergent kids/support driving. Rather book one extra and cancel than the other way around."/>
    <s v="IST-11256"/>
    <n v="325"/>
    <s v="Mollie"/>
    <s v="2024-12-04 19:36:32"/>
    <n v="1733340992"/>
    <m/>
    <m/>
  </r>
  <r>
    <n v="43"/>
    <s v="Joshua"/>
    <s v="Gartner"/>
    <s v="jpgartner@gmail.com"/>
    <s v="+491756066993"/>
    <m/>
    <x v="3"/>
    <s v="Boy Scouts of America - Transatlantic Council"/>
    <s v="Wiesbaden Troop"/>
    <s v="Troop 107"/>
    <s v="Wiesbaden"/>
    <n v="25"/>
    <n v="5"/>
    <s v="Friday"/>
    <s v="15:00 - 18:00"/>
    <s v="Monday"/>
    <s v="09:00 - 12:00"/>
    <m/>
    <s v="IST-17338"/>
    <n v="750"/>
    <s v="Mollie"/>
    <s v="2024-12-07 17:40:24"/>
    <n v="1733593224"/>
    <m/>
    <m/>
  </r>
  <r>
    <n v="44"/>
    <s v="Zuzana"/>
    <s v="Holekova"/>
    <s v="zuzanaholekova@centrum.sk"/>
    <s v="+421905886516"/>
    <m/>
    <x v="1"/>
    <s v="Guests"/>
    <s v="zbor Irmy Ševcechovej"/>
    <n v="31"/>
    <s v="Trenčianska Teplá"/>
    <n v="5"/>
    <n v="1"/>
    <s v="Friday"/>
    <s v="15:00 - 18:00"/>
    <s v="Monday"/>
    <s v="12:00 - 15:00"/>
    <m/>
    <s v="IST-10569"/>
    <n v="150"/>
    <s v="Mollie"/>
    <s v="2024-12-07 19:33:48"/>
    <n v="1733600028"/>
    <m/>
    <m/>
  </r>
  <r>
    <n v="45"/>
    <s v="Robert"/>
    <s v="Birkmann"/>
    <s v="robert.birkmann@ostgoten.de"/>
    <s v="+4915151277360"/>
    <m/>
    <x v="2"/>
    <s v="Deutsche Pfadfinderschaft Sankt Georg"/>
    <s v="Stamm Ostgoten/Rheinbezirk"/>
    <s v="010107"/>
    <s v="Krefeld"/>
    <n v="21"/>
    <n v="5"/>
    <s v="Friday"/>
    <s v="09:00 - 12:00"/>
    <s v="Monday"/>
    <s v="09:00 - 12:00"/>
    <m/>
    <s v="IST-12385"/>
    <n v="650"/>
    <s v="Mollie"/>
    <s v="2024-12-07 20:10:04"/>
    <n v="1733602204"/>
    <m/>
    <m/>
  </r>
  <r>
    <n v="46"/>
    <s v="Annika"/>
    <s v="Tobies"/>
    <s v="an@tobies.info"/>
    <s v="+4915734650329"/>
    <s v="DPSG St. Rochus  Rochusstraße 223  53123 Bonn Germany"/>
    <x v="2"/>
    <s v="Deutsche Pfadfinderschaft Sankt Georg"/>
    <s v="DPSG St. Rochus"/>
    <s v="Pfadfinder"/>
    <s v="Bonn"/>
    <n v="9"/>
    <n v="3"/>
    <s v="Friday"/>
    <s v="15:00 - 18:00"/>
    <s v="Monday"/>
    <s v="12:00 - 15:00"/>
    <s v="Hello, we've got two boys in our troop that have diagnosis in the field of adhd and autism that we want to include in our group activities. To do this we need to increase the number of leaders.   We are looking forward to this Intercamp! Cheers Annika"/>
    <s v="IST-17682"/>
    <n v="300"/>
    <s v="Mollie"/>
    <s v="2024-12-07 20:38:29"/>
    <n v="1733603909"/>
    <m/>
    <m/>
  </r>
  <r>
    <n v="47"/>
    <s v="Wolfgang"/>
    <s v="Otto"/>
    <s v="scouterwolfgang@aol.com"/>
    <s v="+4915753131324"/>
    <m/>
    <x v="2"/>
    <s v="Deutsche Pfadfinderschaft Sankt Georg"/>
    <s v="DPSG Moers St. Josef"/>
    <s v="14/08/01"/>
    <s v="Moers"/>
    <n v="1"/>
    <n v="1"/>
    <s v="Friday"/>
    <s v="15:00 - 18:00"/>
    <s v="Monday"/>
    <s v="09:00 - 12:00"/>
    <m/>
    <s v="IST-61800"/>
    <n v="50"/>
    <s v="Mollie"/>
    <s v="2024-12-07 20:57:29"/>
    <n v="1733605049"/>
    <m/>
    <m/>
  </r>
  <r>
    <n v="48"/>
    <s v="Erik"/>
    <s v="Iliff"/>
    <s v="iliffe410@gmail.com"/>
    <s v="+31621692799"/>
    <m/>
    <x v="3"/>
    <s v="Boy Scouts of America - Transatlantic Council"/>
    <s v="Troop 100"/>
    <n v="100"/>
    <s v="Brunssum"/>
    <n v="2"/>
    <n v="1"/>
    <s v="Friday"/>
    <s v="18:00 - 21:00"/>
    <s v="Monday"/>
    <s v="09:00 - 12:00"/>
    <m/>
    <s v="IST-13942"/>
    <n v="75"/>
    <s v="Mollie"/>
    <s v="2024-12-07 21:02:55"/>
    <n v="1733605375"/>
    <m/>
    <m/>
  </r>
  <r>
    <n v="49"/>
    <s v="Zuzana"/>
    <s v="Holekova"/>
    <s v="zuzanaholekova@centrum.sk"/>
    <s v="+421905886516"/>
    <m/>
    <x v="1"/>
    <s v="Choose..."/>
    <s v="Zbor Irmy Ševcechovej"/>
    <n v="31"/>
    <s v="Trenčianska Teplá"/>
    <n v="2"/>
    <n v="1"/>
    <s v="Friday"/>
    <s v="15:00 - 18:00"/>
    <s v="Monday"/>
    <s v="12:00 - 15:00"/>
    <m/>
    <s v="IST-35004"/>
    <n v="75"/>
    <s v="Mollie"/>
    <s v="2024-12-08 13:07:16"/>
    <n v="1733663236"/>
    <m/>
    <m/>
  </r>
  <r>
    <n v="50"/>
    <s v="Helen"/>
    <s v="Thurston"/>
    <s v="helen.thurston2@gmail.com"/>
    <s v="+41789765569"/>
    <s v="Please send the invoice to be paid to: Jonathon Hopkins, USAGSO - Basel Treasurer, Schaienweg 2 Ettingen CH-4107 Switzerland"/>
    <x v="3"/>
    <s v="Girl Scouts of the USA"/>
    <s v="White Roses / USA girl scouts overseas"/>
    <n v="38738"/>
    <s v="Basel"/>
    <n v="6"/>
    <n v="2"/>
    <s v="Friday"/>
    <s v="18:00 - 21:00"/>
    <s v="Monday"/>
    <s v="12:00 - 15:00"/>
    <s v="We have not planned how we will get there yet but will let you know if anything changes from what I have estimated above. I hope that is okay.  Kind regards Helen"/>
    <s v="IST-19969"/>
    <n v="200"/>
    <s v="Mollie"/>
    <s v="2024-12-08 16:22:24"/>
    <n v="1733674944"/>
    <m/>
    <m/>
  </r>
  <r>
    <n v="51"/>
    <s v="Steven"/>
    <s v="Harker"/>
    <s v="charker22@gmail.com"/>
    <s v="+49"/>
    <s v="Troop 240 B Intercamp Registration"/>
    <x v="3"/>
    <s v="Boy Scouts of America - Transatlantic Council"/>
    <s v="Troop 240"/>
    <n v="240"/>
    <s v="Grafenwoehr"/>
    <n v="13"/>
    <n v="3"/>
    <s v="Friday"/>
    <s v="18:00 - 21:00"/>
    <s v="Monday"/>
    <s v="09:00 - 12:00"/>
    <s v="We need two male leaders for our male scouts and one female leader for our Female scouts."/>
    <s v="IST-19596"/>
    <n v="400"/>
    <s v="Mollie"/>
    <s v="2024-12-11 21:24:46"/>
    <n v="1733952286"/>
    <m/>
    <m/>
  </r>
  <r>
    <n v="52"/>
    <s v="Randolph"/>
    <s v="Caldwell"/>
    <s v="scoutmastert21munich@gmail.com"/>
    <s v="+491738714703"/>
    <m/>
    <x v="3"/>
    <s v="Boy Scouts of America - Transatlantic Council"/>
    <s v="Troop 21"/>
    <s v="0021B"/>
    <s v="Munich"/>
    <n v="12"/>
    <n v="3"/>
    <s v="Friday"/>
    <s v="12:00 - 15:00"/>
    <s v="Monday"/>
    <s v="09:00 - 12:00"/>
    <m/>
    <s v="IST-47786"/>
    <n v="375"/>
    <s v="Mollie"/>
    <s v="2024-12-13 14:58:14"/>
    <n v="1734101894"/>
    <m/>
    <m/>
  </r>
  <r>
    <n v="53"/>
    <s v="Sofie"/>
    <s v="Tijssen"/>
    <s v="sofietijssen@hotmail.com"/>
    <s v="+31612305045"/>
    <m/>
    <x v="0"/>
    <s v="Scouting Nederland"/>
    <s v="Scouting Johannes Vianney"/>
    <n v="1540"/>
    <s v="Eindhoven"/>
    <n v="34"/>
    <n v="7"/>
    <s v="Friday"/>
    <s v="12:00 - 15:00"/>
    <s v="Monday"/>
    <s v="12:00 - 15:00"/>
    <m/>
    <s v="IST-65379"/>
    <n v="1025"/>
    <s v="Mollie"/>
    <s v="2024-12-20 13:01:11"/>
    <n v="1734699671"/>
    <m/>
    <m/>
  </r>
  <r>
    <n v="54"/>
    <s v="Tom"/>
    <s v="Bakker"/>
    <s v="Tom@scoutingwestbetuwe.nl"/>
    <s v="+31613877430"/>
    <m/>
    <x v="0"/>
    <s v="Scouting Nederland"/>
    <s v="Scouting Graaf van Gelre"/>
    <n v="2588"/>
    <s v="Geldermalsen"/>
    <n v="25"/>
    <n v="5"/>
    <s v="Friday"/>
    <s v="12:00 - 15:00"/>
    <s v="Monday"/>
    <s v="12:00 - 15:00"/>
    <m/>
    <s v="IST-13297"/>
    <n v="750"/>
    <s v="Mollie"/>
    <s v="2024-12-20 13:03:49"/>
    <n v="1734699829"/>
    <m/>
    <m/>
  </r>
  <r>
    <n v="55"/>
    <s v="Caspar"/>
    <s v="Doornmalen"/>
    <s v="casparvandoornmalen@gmail.com"/>
    <s v="+31625431249"/>
    <m/>
    <x v="0"/>
    <s v="Scouting Nederland"/>
    <s v="Scouting St. Martinus"/>
    <n v="1606"/>
    <s v="Zaltbommel"/>
    <n v="10"/>
    <n v="2"/>
    <s v="Friday"/>
    <s v="12:00 - 15:00"/>
    <s v="Monday"/>
    <s v="12:00 - 15:00"/>
    <m/>
    <s v="IST-18992"/>
    <n v="300"/>
    <s v="Mollie"/>
    <s v="2024-12-20 13:06:03"/>
    <n v="1734699963"/>
    <m/>
    <m/>
  </r>
  <r>
    <n v="56"/>
    <s v="Daniel"/>
    <s v="Cole"/>
    <s v="daniel.cole32@live.com"/>
    <s v="+12292510986"/>
    <m/>
    <x v="3"/>
    <s v="Boy Scouts of America - Transatlantic Council"/>
    <s v="Troop 12"/>
    <n v="12"/>
    <s v="APO"/>
    <n v="35"/>
    <n v="7"/>
    <s v="Friday"/>
    <s v="09:00 - 12:00"/>
    <s v="Monday"/>
    <s v="12:00 - 15:00"/>
    <m/>
    <s v="IST-13607"/>
    <n v="1050"/>
    <s v="Mollie"/>
    <s v="2025-01-01 07:39:49"/>
    <n v="1735717189"/>
    <m/>
    <m/>
  </r>
  <r>
    <n v="57"/>
    <s v="Ulrich"/>
    <s v="Maurach"/>
    <s v="mail@ulrich-maurach.de"/>
    <s v="+491713141429"/>
    <s v="Team!  I’m a german father (born in HH) of a 14 year old daughter and made my promise as a British Scout in Celle, Lower Saxony (Niedersachsen) during the 80’s. A became a Venture Scout during that time and attended only one Intercamp – must have been near the river Rhine close to Bernkastel-Kues.  This year I would like to attend the Intercamp, to show my daughter, what a wonderful movement scouting is. I do offer being a ‘helper’ during the event where ever it is needed.  So – is it possible to attend with 1 tent and two persons?  I hope to hear from you - Ulrich   Ulrich Maurach M +49171 3141429 mail@ulrich-maurach.de"/>
    <x v="5"/>
    <s v="Other Association"/>
    <s v="Ulrich Maurach"/>
    <s v="-/-"/>
    <s v="Berlin"/>
    <n v="1"/>
    <n v="1"/>
    <s v="Friday"/>
    <s v="15:00 - 18:00"/>
    <s v="Monday"/>
    <s v="12:00 - 15:00"/>
    <s v="Team!  I’m a german father (born in HH) of a 14 year old daughter and made my promise as a British Scout in Celle, Lower Saxony (Niedersachsen) during the 80’s. A became a Venture Scout during that time and attended only one Intercamp – must have been near the river Rhine close to Bernkastel-Kues.  This year I would like to attend the Intercamp, to show my daughter, what a wonderful movement scouting is. I do offer being a ‘helper’ during the event where ever it is needed.  So – is it possible to attend with 1 tent and two persons?  I hope to hear from you - Ulrich   Ulrich Maurach M +49171 3141429 mail@ulrich-maurach.de"/>
    <s v="IST-45306"/>
    <n v="50"/>
    <s v="Mollie"/>
    <s v="2025-01-09 08:35:01"/>
    <n v="1736411701"/>
    <m/>
    <m/>
  </r>
  <r>
    <n v="58"/>
    <s v="POGGIO"/>
    <s v="STEPHAN"/>
    <s v="poggio.stephan@yahoo.com"/>
    <s v="+33632153653"/>
    <m/>
    <x v="5"/>
    <s v="Scoutisme Français"/>
    <s v="Scout du Florival"/>
    <s v="EEDF -  GUEBWILLER - SCOUTS DU FLORIVAL - 706019"/>
    <s v="Guebwiller - Soultz"/>
    <n v="21"/>
    <n v="4"/>
    <s v="Friday"/>
    <s v="12:00 - 15:00"/>
    <s v="Monday"/>
    <s v="09:00 - 12:00"/>
    <m/>
    <s v="IST-13515"/>
    <n v="625"/>
    <s v="Mollie"/>
    <s v="2025-01-12 17:15:12"/>
    <n v="1736702112"/>
    <m/>
    <m/>
  </r>
  <r>
    <n v="59"/>
    <s v="Barbora"/>
    <s v="Jánská"/>
    <s v="janskabarbora@gmail.com"/>
    <s v="+420733650318"/>
    <m/>
    <x v="6"/>
    <s v="JUNAK - cesky skaut"/>
    <s v="Dráčata Štěnovice"/>
    <n v="323.02"/>
    <s v="Štěnovice"/>
    <n v="20"/>
    <n v="4"/>
    <s v="Friday"/>
    <s v="18:00 - 21:00"/>
    <s v="Monday"/>
    <s v="09:00 - 12:00"/>
    <m/>
    <s v="IST-69112"/>
    <n v="600"/>
    <s v="Mollie"/>
    <s v="2025-01-13 14:28:34"/>
    <n v="1736778514"/>
    <m/>
    <m/>
  </r>
  <r>
    <n v="60"/>
    <s v="Martin"/>
    <s v="Kolarik"/>
    <s v="smurf@skaut.cz"/>
    <s v="+420723923943"/>
    <s v="Junák – český skaut, středisko Járy Kaštila Prostějov, z. s.  Sokolská 30, 796 01 Prostějov Czech republic  IČO: 65762959"/>
    <x v="6"/>
    <s v="JUNAK - cesky skaut"/>
    <s v="JK"/>
    <n v="713.05"/>
    <s v="Prostejov"/>
    <n v="20"/>
    <n v="4"/>
    <s v="Friday"/>
    <s v="15:00 - 18:00"/>
    <s v="Monday"/>
    <s v="09:00 - 12:00"/>
    <m/>
    <s v="IST-11762"/>
    <n v="600"/>
    <s v="Mollie"/>
    <s v="2025-01-15 07:08:46"/>
    <n v="1736924926"/>
    <m/>
    <m/>
  </r>
  <r>
    <n v="61"/>
    <s v="Pavel"/>
    <s v="Šenkyřík"/>
    <s v="180.veneta@gmail.com"/>
    <s v="+420733233486"/>
    <s v="Customer: Junák - český skaut, středisko Platan Praha, z. s. Adress: Viktorinova 1122/1,Praha 4 – Nusle, 140 00 Praha, Česká Republika IČO: 40613593"/>
    <x v="6"/>
    <s v="JUNAK - cesky skaut"/>
    <s v="Platan"/>
    <n v="114.32"/>
    <s v="Prague"/>
    <n v="20"/>
    <n v="3"/>
    <s v="Friday"/>
    <s v="18:00 - 21:00"/>
    <s v="Monday"/>
    <s v="09:00 - 12:00"/>
    <m/>
    <s v="IST-32540"/>
    <n v="575"/>
    <s v="Mollie"/>
    <s v="2025-01-18 14:39:42"/>
    <n v="1737211182"/>
    <m/>
    <m/>
  </r>
  <r>
    <n v="62"/>
    <s v="Lenka"/>
    <s v="Hechtová"/>
    <s v="lenkalischkova@gmail.com"/>
    <s v="+420607881402"/>
    <m/>
    <x v="6"/>
    <s v="JUNAK - cesky skaut"/>
    <s v="Core"/>
    <s v="511.02.004"/>
    <s v="Nový Bor"/>
    <n v="20"/>
    <n v="4"/>
    <s v="Friday"/>
    <s v="18:00 - 21:00"/>
    <s v="Monday"/>
    <s v="09:00 - 12:00"/>
    <m/>
    <s v="IST-18688"/>
    <n v="600"/>
    <s v="Mollie"/>
    <s v="2025-01-19 18:16:07"/>
    <n v="1737310567"/>
    <m/>
    <m/>
  </r>
  <r>
    <n v="63"/>
    <s v="Petr"/>
    <s v="Kvarda"/>
    <s v="kvardic.p@seznam.cz"/>
    <s v="+420739528720"/>
    <m/>
    <x v="6"/>
    <s v="JUNAK - cesky skaut"/>
    <s v="Goliath"/>
    <n v="611.04999999999995"/>
    <s v="Přibyslav"/>
    <n v="8"/>
    <n v="2"/>
    <s v="Friday"/>
    <s v="12:00 - 15:00"/>
    <s v="Monday"/>
    <s v="15:00 - 18:00"/>
    <m/>
    <s v="IST-12285"/>
    <n v="250"/>
    <s v="Mollie"/>
    <s v="2025-01-20 17:26:18"/>
    <n v="1737393978"/>
    <m/>
    <m/>
  </r>
  <r>
    <n v="64"/>
    <s v="Klára"/>
    <s v="Helánová"/>
    <s v="akela.sebetov@skaut.cz"/>
    <s v="+420777865883"/>
    <s v="Junák - Český skaut, středisko Severka, z.s. Šebetov 49 679 35 Czech Republic"/>
    <x v="6"/>
    <s v="JUNAK - cesky skaut"/>
    <s v="Středisko Severka"/>
    <n v="621.11"/>
    <s v="Šebetov"/>
    <n v="15"/>
    <n v="3"/>
    <s v="Friday"/>
    <s v="15:00 - 18:00"/>
    <s v="Monday"/>
    <s v="12:00 - 15:00"/>
    <s v="We are not sure about the arrival time yet. We're in the process of deciding between Friday morning (around 10 am) and evening (around 6 pm). We'll let you know once we've settled."/>
    <s v="IST-64335"/>
    <n v="450"/>
    <s v="Mollie"/>
    <s v="2025-01-21 17:35:18"/>
    <n v="1737480918"/>
    <m/>
    <m/>
  </r>
  <r>
    <n v="65"/>
    <s v="Jan"/>
    <s v="Holoubek"/>
    <s v="jan.holoubek@skaut.cz"/>
    <s v="+420736149229"/>
    <m/>
    <x v="6"/>
    <s v="JUNAK - cesky skaut"/>
    <s v="Stopa"/>
    <s v="526.06.004"/>
    <s v="Hradec Králové"/>
    <n v="6"/>
    <n v="2"/>
    <s v="Friday"/>
    <s v="12:00 - 15:00"/>
    <s v="Monday"/>
    <s v="09:00 - 12:00"/>
    <s v="We need to be two adults for safety reasons (two drivers). Also we both work with the troop during the year as mentors."/>
    <s v="IST-54674"/>
    <n v="200"/>
    <s v="Mollie"/>
    <s v="2025-01-22 16:15:01"/>
    <n v="1737562501"/>
    <m/>
    <m/>
  </r>
  <r>
    <n v="66"/>
    <s v="Vojtěch"/>
    <s v="Podzimek"/>
    <s v="podzimek.vojta@skaut.cz"/>
    <s v="+420724144345"/>
    <s v="Junák - český skaut, středisko Sopka Nová Paka, z. s. Svatojánská 1193 509 01 Nová Paka IČ: 60116421"/>
    <x v="6"/>
    <s v="JUNAK - cesky skaut"/>
    <s v="Sopka Nová Paka"/>
    <n v="522.03"/>
    <s v="NOVÁ PAKA"/>
    <n v="20"/>
    <n v="4"/>
    <s v="Friday"/>
    <s v="18:00 - 21:00"/>
    <s v="Monday"/>
    <s v="09:00 - 12:00"/>
    <m/>
    <s v="IST-16688"/>
    <n v="600"/>
    <s v="Mollie"/>
    <s v="2025-01-22 20:56:18"/>
    <n v="1737579378"/>
    <m/>
    <m/>
  </r>
  <r>
    <n v="67"/>
    <s v="Šimon"/>
    <s v="Trousil"/>
    <s v="sedmy-oddil@seznam.cz"/>
    <s v="+420720103492"/>
    <m/>
    <x v="6"/>
    <s v="JUNAK - cesky skaut"/>
    <s v="Orion Kladno"/>
    <n v="213.01"/>
    <s v="Kladno"/>
    <n v="18"/>
    <n v="3"/>
    <s v="Friday"/>
    <s v="15:00 - 18:00"/>
    <s v="Monday"/>
    <s v="09:00 - 12:00"/>
    <s v="We are traveling from the Czech Republic by bus together with another group of scouts and we are currently planning the bus, so we don't know the exact time of arrival."/>
    <s v="IST-92152"/>
    <n v="525"/>
    <s v="Mollie"/>
    <s v="2025-01-24 10:58:50"/>
    <n v="1737716330"/>
    <m/>
    <m/>
  </r>
  <r>
    <n v="68"/>
    <s v="Roberto"/>
    <s v="Baltazar"/>
    <s v="bltzrr@gmail.com"/>
    <s v="+4915117534988"/>
    <m/>
    <x v="3"/>
    <s v="Boy Scouts of America - Transatlantic Council"/>
    <s v="Atomic Tacos"/>
    <s v="156 Ramstien"/>
    <s v="Ramstein Air Base"/>
    <n v="20"/>
    <n v="8"/>
    <s v="Friday"/>
    <s v="18:00 - 21:00"/>
    <s v="Monday"/>
    <s v="09:00 - 12:00"/>
    <m/>
    <s v="IST-12821"/>
    <n v="700"/>
    <s v="Mollie"/>
    <s v="2025-01-24 13:58:18"/>
    <n v="1737727098"/>
    <m/>
    <m/>
  </r>
  <r>
    <n v="69"/>
    <s v="Amy"/>
    <s v="Hielen"/>
    <s v="amyhielen@gmail.com"/>
    <s v="+491607073891"/>
    <m/>
    <x v="3"/>
    <s v="Boy Scouts of America - Transatlantic Council"/>
    <s v="Troop"/>
    <s v="43 and 86"/>
    <s v="Oberusal"/>
    <n v="5"/>
    <n v="4"/>
    <s v="Friday"/>
    <s v="18:00 - 21:00"/>
    <s v="Monday"/>
    <s v="09:00 - 12:00"/>
    <s v="We may want to add more kids to the registration."/>
    <s v="IST-14176"/>
    <n v="225"/>
    <s v="Mollie"/>
    <s v="2025-01-25 14:54:13"/>
    <n v="1737816854"/>
    <m/>
    <s v="Requested to register additional participants"/>
  </r>
  <r>
    <n v="70"/>
    <s v="Dana"/>
    <s v="Tarantová"/>
    <s v="komtesa.dana@gmail.com"/>
    <s v="+420606227817"/>
    <s v="Junák - český skaut, středisko Oheň Most, z. s. Slovenského národního povstání 1191 434 01  Most IČ: 41324919"/>
    <x v="6"/>
    <s v="JUNAK - cesky skaut"/>
    <s v="Junák - český skaut, středisko Oheň Most, z. s."/>
    <n v="42501"/>
    <s v="Most"/>
    <n v="20"/>
    <n v="4"/>
    <s v="Friday"/>
    <s v="15:00 - 18:00"/>
    <s v="Monday"/>
    <s v="09:00 - 12:00"/>
    <m/>
    <s v="IST-15385"/>
    <n v="600"/>
    <s v="Mollie"/>
    <s v="2025-01-26 18:36:08"/>
    <n v="1737916569"/>
    <m/>
    <m/>
  </r>
  <r>
    <n v="71"/>
    <s v="Ondřej"/>
    <s v="Mikulčík"/>
    <s v="ondrej.mikulcik@gmail.com"/>
    <s v="+420702282329"/>
    <s v="Junák Český skaut -  středisko Vizovice z.s. Razov 761 Vizovice 76312 Czech republic IC: 46277404"/>
    <x v="6"/>
    <s v="JUNAK - cesky skaut"/>
    <s v="Vizovice"/>
    <n v="724.12"/>
    <s v="Vizovice"/>
    <n v="13"/>
    <n v="2"/>
    <s v="Friday"/>
    <s v="09:00 - 12:00"/>
    <s v="Monday"/>
    <s v="09:00 - 12:00"/>
    <m/>
    <s v="IST-29006"/>
    <n v="375"/>
    <s v="Mollie"/>
    <s v="2025-01-28 16:33:49"/>
    <n v="1738082029"/>
    <m/>
    <m/>
  </r>
  <r>
    <n v="72"/>
    <s v="Vanda"/>
    <s v="Hegerová"/>
    <s v="vanda.hegerova@seznam.cz"/>
    <s v="+420"/>
    <m/>
    <x v="6"/>
    <s v="JUNAK - cesky skaut"/>
    <s v="Blaník"/>
    <n v="114.07"/>
    <s v="Prague"/>
    <n v="4"/>
    <n v="1"/>
    <s v="Friday"/>
    <s v="15:00 - 18:00"/>
    <s v="Monday"/>
    <s v="09:00 - 12:00"/>
    <s v="Arrival time is not exactly we are still planing."/>
    <s v="IST-81258"/>
    <n v="125"/>
    <s v="Mollie"/>
    <s v="2025-01-28 19:14:48"/>
    <n v="1738091688"/>
    <m/>
    <m/>
  </r>
  <r>
    <n v="73"/>
    <s v="Jonáš"/>
    <s v="Novotný"/>
    <s v="novotny.jonas@seznam.cz"/>
    <s v="+420731403977"/>
    <m/>
    <x v="6"/>
    <s v="JUNAK - cesky skaut"/>
    <s v="Anikrok a Dvojka"/>
    <n v="532.08000000000004"/>
    <s v="Přelouč"/>
    <n v="14"/>
    <n v="4"/>
    <s v="Friday"/>
    <s v="12:00 - 15:00"/>
    <s v="Monday"/>
    <s v="09:00 - 12:00"/>
    <m/>
    <s v="IST-95252"/>
    <n v="450"/>
    <s v="Mollie"/>
    <s v="2025-01-28 19:30:24"/>
    <n v="1738092624"/>
    <m/>
    <m/>
  </r>
  <r>
    <n v="74"/>
    <s v="Patrick"/>
    <s v="Stevens"/>
    <s v="pmstevensv@icloud.com"/>
    <s v="+31625066599"/>
    <m/>
    <x v="3"/>
    <s v="Boy Scouts of America - Transatlantic Council"/>
    <s v="Troop 100"/>
    <n v="100"/>
    <s v="Brunssum"/>
    <n v="17"/>
    <n v="7"/>
    <s v="Friday"/>
    <s v="18:00 - 21:00"/>
    <s v="Monday"/>
    <s v="09:00 - 12:00"/>
    <s v="Our troop signup consists of both a boys’ troop and a girls’ troop (Troop 100B and Troop 100G), requiring at least one registered female leader to be present at all times per BSA Youth Protection policies. With only two female leaders available, additional adult coverage is necessary to ensure compliance while allowing for flexibility in activities. With 17 scouts attending, the standard 1:5 ratio would suggest a minimum of four leaders, but this does not account for the logistical complexities of managing both the boys’ and girls’ troops. Also, transportation logistics necessitate additional adults, requiring more leaders to transport all participants to and from the campout."/>
    <s v="IST-16807"/>
    <n v="600"/>
    <s v="Mollie"/>
    <s v="2025-01-30 18:15:03"/>
    <n v="1738260903"/>
    <m/>
    <m/>
  </r>
  <r>
    <n v="75"/>
    <s v="Agáta"/>
    <s v="Navrkalová"/>
    <s v="agata.nvr@skaut.cz"/>
    <s v="+420773301941"/>
    <m/>
    <x v="6"/>
    <s v="JUNAK - cesky skaut"/>
    <s v="Junák - český skaut, středisko Podyjí Znojmo, z. s."/>
    <n v="627.02"/>
    <s v="Znojmo"/>
    <n v="8"/>
    <n v="2"/>
    <s v="Friday"/>
    <s v="09:00 - 12:00"/>
    <s v="Monday"/>
    <s v="12:00 - 15:00"/>
    <m/>
    <s v="IST-18787"/>
    <n v="250"/>
    <s v="Mollie"/>
    <s v="2025-01-31 10:36:55"/>
    <n v="1738319816"/>
    <m/>
    <m/>
  </r>
  <r>
    <n v="76"/>
    <s v="Vlastimil"/>
    <s v="Buriánek"/>
    <s v="vlastimil.burianek@skaut.cz"/>
    <s v="+420725561858"/>
    <m/>
    <x v="6"/>
    <s v="JUNAK - cesky skaut"/>
    <s v="Děti přírody"/>
    <n v="713.02"/>
    <s v="Prostějov"/>
    <n v="9"/>
    <n v="2"/>
    <s v="Friday"/>
    <s v="15:00 - 18:00"/>
    <s v="Monday"/>
    <s v="12:00 - 15:00"/>
    <s v="Departure/arrival times are (still) approximate."/>
    <s v="IST-20023"/>
    <n v="275"/>
    <s v="Mollie"/>
    <s v="2025-01-31 20:17:50"/>
    <n v="1738354670"/>
    <m/>
    <m/>
  </r>
  <r>
    <n v="77"/>
    <s v="Ondřej"/>
    <s v="Rejsek"/>
    <s v="ondrej.rejsek@seznam.cz"/>
    <s v="+420605211206"/>
    <s v="Junák - český skaut, středisko Želivák Hradec Králové, z. s. Čajkovského 1861/46A, 500 09 Hradec Králové IČO: 62693158"/>
    <x v="6"/>
    <s v="JUNAK - cesky skaut"/>
    <s v="Želivák"/>
    <n v="526.07000000000005"/>
    <s v="Hradec Králové"/>
    <n v="12"/>
    <n v="3"/>
    <s v="Friday"/>
    <s v="09:00 - 12:00"/>
    <s v="Monday"/>
    <s v="09:00 - 12:00"/>
    <s v="We have exceeded the participant rate, because two of the leaders are still rangers in the age of 18, which want to go together. We would like to give them the opportunity to gain experience in leadership - to participate in organization of the international event. In our opinion they should have the support of older and experienced leader. Unfortunately the number of scout - participants is a little bit lower than expected."/>
    <s v="IST-64944"/>
    <n v="375"/>
    <s v="Mollie"/>
    <s v="2025-01-31 20:55:09"/>
    <n v="1738356909"/>
    <m/>
    <m/>
  </r>
  <r>
    <n v="78"/>
    <s v="Antonín"/>
    <s v="Kala"/>
    <s v="tonda.kala@seznam.cz"/>
    <s v="+420603472473"/>
    <m/>
    <x v="6"/>
    <s v="JUNAK - cesky skaut"/>
    <s v="Stopaři"/>
    <n v="118.52"/>
    <s v="Praha"/>
    <n v="14"/>
    <n v="2"/>
    <s v="Friday"/>
    <s v="15:00 - 18:00"/>
    <s v="Monday"/>
    <s v="12:00 - 15:00"/>
    <m/>
    <s v="IST-19283"/>
    <n v="400"/>
    <s v="Mollie"/>
    <s v="2025-01-31 22:47:55"/>
    <n v="1738363675"/>
    <m/>
    <m/>
  </r>
  <r>
    <n v="79"/>
    <s v="Leah"/>
    <s v="Gililland"/>
    <s v="leahm2scott@gmail.com"/>
    <s v="+49"/>
    <m/>
    <x v="3"/>
    <s v="Boy Scouts of America - Transatlantic Council"/>
    <s v="Troop 164 Sembach"/>
    <n v="164"/>
    <s v="Sembach"/>
    <n v="6"/>
    <n v="2"/>
    <s v="Friday"/>
    <s v="15:00 - 18:00"/>
    <s v="Sunday"/>
    <s v="09:00 - 12:00"/>
    <m/>
    <s v="IST-89120"/>
    <n v="200"/>
    <s v="Mollie"/>
    <s v="2025-02-01 14:15:40"/>
    <n v="1738419340"/>
    <m/>
    <m/>
  </r>
  <r>
    <n v="80"/>
    <s v="Jiří"/>
    <s v="Granát"/>
    <s v="namornik@skaut.cz"/>
    <s v="+420732310218"/>
    <m/>
    <x v="6"/>
    <s v="JUNAK - cesky skaut"/>
    <s v="Junák Kostelec nad Orlicí"/>
    <n v="524.03"/>
    <s v="Kostelec nad Orlicí"/>
    <n v="20"/>
    <n v="4"/>
    <s v="Friday"/>
    <s v="09:00 - 12:00"/>
    <s v="Monday"/>
    <s v="09:00 - 12:00"/>
    <m/>
    <s v="IST-23514"/>
    <n v="600"/>
    <s v="Mollie"/>
    <s v="2025-02-01 21:53:16"/>
    <n v="1738446796"/>
    <m/>
    <m/>
  </r>
  <r>
    <n v="81"/>
    <s v="Darcy"/>
    <s v="Herring"/>
    <s v="darcemeister@gmail.com"/>
    <s v="+491705503724"/>
    <m/>
    <x v="3"/>
    <s v="Boy Scouts of America - Transatlantic Council"/>
    <s v="VFW Post 10810 Stuttgart Post-BSA Troop 324"/>
    <s v="Troop 0324"/>
    <s v="Stuttgart"/>
    <n v="10"/>
    <n v="3"/>
    <s v="Friday"/>
    <s v="15:00 - 18:00"/>
    <s v="Sunday"/>
    <s v="15:00 - 18:00"/>
    <s v="We are a US Troop whose members are US military affiliated.  We are bringing Scouts from the Stuttgart, Germany area.  Troop 324 has two components, 324B for Boys and 324G for Girls.  The Youth attending Intercamp are from both 324B and 324G.  The Leaders are a combination of male and female adults.  Leaders attending Intercamp are providing transportation for Youth who are their children as well as offering carpooling to Troop Scouts via 2-3 vehicles.  Due to Youth school and Leader work schedules we are returning back to the Stuttgart area Sunday.  We are unable to stay until Monday.    Having all 3 leaders stay at camp over the weekend is the most logical and cost effective option for our Troop’s needs and dynamics.  In addition to our Youth being represented by both boys and girls we have neurodivergent Scouts who benefit greatly from having a low adult to Youth ratio.  Having 3 adult Leaders helps distribute workload throughout the day.  For example, at breakfast one adult can handle medicine management while another adult helps the girls get ready for the day and the third adult can oversee the boys.  Thank you for your support and understanding of our Troop’s needs!"/>
    <s v="IST-36934"/>
    <n v="325"/>
    <s v="Mollie"/>
    <s v="2025-02-02 23:04:47"/>
    <n v="1738537487"/>
    <m/>
    <m/>
  </r>
  <r>
    <n v="82"/>
    <s v="Lucie"/>
    <s v="Urbanová"/>
    <s v="lucie.urbn@gmail.com"/>
    <s v="+420728900846"/>
    <m/>
    <x v="6"/>
    <s v="JUNAK - cesky skaut"/>
    <s v="Devítky"/>
    <n v="533.02"/>
    <s v="Litomyšl"/>
    <n v="8"/>
    <n v="1"/>
    <s v="Friday"/>
    <s v="12:00 - 15:00"/>
    <s v="Monday"/>
    <s v="12:00 - 15:00"/>
    <m/>
    <s v="IST-66761"/>
    <n v="225"/>
    <s v="Mollie"/>
    <s v="2025-02-03 15:13:33"/>
    <n v="1738595613"/>
    <m/>
    <m/>
  </r>
  <r>
    <n v="83"/>
    <s v="Kateřina"/>
    <s v="Tuháčková"/>
    <s v="katy58@skaut.cz"/>
    <s v="+420725882920"/>
    <m/>
    <x v="6"/>
    <s v="JUNAK - cesky skaut"/>
    <s v="Sluneční údolí"/>
    <s v="323.05.058"/>
    <s v="Starý Plzenec"/>
    <n v="8"/>
    <n v="1"/>
    <s v="Friday"/>
    <s v="15:00 - 18:00"/>
    <s v="Monday"/>
    <s v="09:00 - 12:00"/>
    <m/>
    <s v="IST-11470"/>
    <n v="225"/>
    <s v="Mollie"/>
    <s v="2025-02-03 20:18:05"/>
    <n v="1738613885"/>
    <m/>
    <m/>
  </r>
  <r>
    <n v="84"/>
    <s v="Aleksandra"/>
    <s v="Comblik"/>
    <s v="aleksandra.comblik@zhp.net.pl"/>
    <s v="+48510361821"/>
    <m/>
    <x v="7"/>
    <s v="Zwiazek Harcerstwa Polskiego"/>
    <s v="Silva"/>
    <n v="76"/>
    <s v="Gdansk"/>
    <n v="13"/>
    <n v="1"/>
    <s v="Friday"/>
    <s v="12:00 - 15:00"/>
    <s v="Monday"/>
    <s v="09:00 - 12:00"/>
    <m/>
    <s v="IST-12664"/>
    <n v="350"/>
    <s v="Mollie"/>
    <s v="2025-02-04 14:27:42"/>
    <n v="1738679262"/>
    <m/>
    <m/>
  </r>
  <r>
    <n v="85"/>
    <s v="Jiří"/>
    <s v="Nevřivý"/>
    <s v="nevrivy.skaut@gmail.com"/>
    <s v="+420736678622"/>
    <m/>
    <x v="6"/>
    <s v="JUNAK - cesky skaut"/>
    <s v="Artemis/Ontario"/>
    <n v="724.06"/>
    <s v="Zlín-Malenovice"/>
    <n v="20"/>
    <n v="4"/>
    <s v="Friday"/>
    <s v="15:00 - 18:00"/>
    <s v="Monday"/>
    <s v="09:00 - 12:00"/>
    <m/>
    <s v="IST-97908"/>
    <n v="600"/>
    <s v="Mollie"/>
    <s v="2025-02-04 22:26:15"/>
    <n v="1738707976"/>
    <m/>
    <m/>
  </r>
  <r>
    <n v="86"/>
    <s v="Karolina"/>
    <s v="Pazdro"/>
    <s v="karolina.pazdro@zhp.net.pl"/>
    <s v="+48609724261"/>
    <m/>
    <x v="7"/>
    <s v="Zwiazek Harcerstwa Polskiego"/>
    <s v="Brzęczące Chrabąszcze"/>
    <n v="16"/>
    <s v="Kraków"/>
    <n v="5"/>
    <n v="1"/>
    <s v="Friday"/>
    <s v="15:00 - 18:00"/>
    <s v="Monday"/>
    <s v="09:00 - 12:00"/>
    <m/>
    <s v="IST-12955"/>
    <n v="150"/>
    <s v="Mollie"/>
    <s v="2025-02-05 12:07:35"/>
    <n v="1738757255"/>
    <m/>
    <m/>
  </r>
  <r>
    <n v="87"/>
    <s v="Magdalena"/>
    <s v="Szymczak"/>
    <s v="szymczak.magdalena@zhp.net.pl"/>
    <s v="+48786087728"/>
    <m/>
    <x v="7"/>
    <s v="Zwiazek Harcerstwa Polskiego"/>
    <s v="Łosie z Górnej półki"/>
    <n v="222"/>
    <s v="Łódź"/>
    <n v="13"/>
    <n v="2"/>
    <s v="Friday"/>
    <s v="18:00 - 21:00"/>
    <s v="Monday"/>
    <s v="09:00 - 12:00"/>
    <m/>
    <s v="IST-22412"/>
    <n v="375"/>
    <s v="Mollie"/>
    <s v="2025-02-05 12:18:04"/>
    <n v="1738757884"/>
    <m/>
    <m/>
  </r>
  <r>
    <n v="88"/>
    <s v="Natalia"/>
    <s v="Gwizd"/>
    <s v="natalia.gwizd@zhp.net.pl"/>
    <s v="+48607781951"/>
    <m/>
    <x v="7"/>
    <s v="Zwiazek Harcerstwa Polskiego"/>
    <s v="Polish Eagles"/>
    <n v="882"/>
    <s v="Łódź"/>
    <n v="15"/>
    <n v="2"/>
    <s v="Friday"/>
    <s v="18:00 - 21:00"/>
    <s v="Monday"/>
    <s v="09:00 - 12:00"/>
    <m/>
    <s v="IST-10548"/>
    <n v="425"/>
    <s v="Mollie"/>
    <s v="2025-02-05 12:21:04"/>
    <n v="1738758064"/>
    <m/>
    <m/>
  </r>
  <r>
    <n v="89"/>
    <s v="Natasza"/>
    <s v="Pytlarczyk"/>
    <s v="natasza.pytlarczyk@zhp.net.pl"/>
    <s v="+48792891243"/>
    <m/>
    <x v="7"/>
    <s v="Zwiazek Harcerstwa Polskiego"/>
    <s v="bunt"/>
    <n v="32"/>
    <s v="Warszawa Praga-Południe"/>
    <n v="8"/>
    <n v="2"/>
    <s v="Friday"/>
    <s v="18:00 - 21:00"/>
    <s v="Monday"/>
    <s v="09:00 - 12:00"/>
    <m/>
    <s v="IST-31219"/>
    <n v="250"/>
    <s v="Mollie"/>
    <s v="2025-02-05 12:32:31"/>
    <n v="1738758751"/>
    <m/>
    <m/>
  </r>
  <r>
    <n v="90"/>
    <s v="Joanna"/>
    <s v="Poniatowska"/>
    <s v="joanna.poniatowska@zhp.net.pl"/>
    <s v="+48509069268"/>
    <m/>
    <x v="7"/>
    <s v="Zwiazek Harcerstwa Polskiego"/>
    <s v="13 WDH - patrol harcerski"/>
    <n v="13"/>
    <s v="Złotokłos"/>
    <n v="15"/>
    <n v="2"/>
    <s v="Friday"/>
    <s v="18:00 - 21:00"/>
    <s v="Please select"/>
    <s v="09:00 - 12:00"/>
    <m/>
    <s v="IST-12701"/>
    <n v="425"/>
    <s v="Mollie"/>
    <s v="2025-02-05 12:35:14"/>
    <n v="1738758914"/>
    <m/>
    <m/>
  </r>
  <r>
    <n v="91"/>
    <s v="Oskar"/>
    <s v="Kostyrka"/>
    <s v="oskar.kostyrka@zhp.net.pl"/>
    <s v="+48535003542"/>
    <m/>
    <x v="7"/>
    <s v="Zwiazek Harcerstwa Polskiego"/>
    <s v="13WDH patrol starszoharcerski"/>
    <n v="13"/>
    <s v="Złotokłos"/>
    <n v="14"/>
    <n v="2"/>
    <s v="Friday"/>
    <s v="15:00 - 18:00"/>
    <s v="Monday"/>
    <s v="09:00 - 12:00"/>
    <m/>
    <s v="IST-17219"/>
    <n v="400"/>
    <s v="Mollie"/>
    <s v="2025-02-05 12:37:30"/>
    <n v="1738759050"/>
    <m/>
    <m/>
  </r>
  <r>
    <n v="92"/>
    <s v="Patryk"/>
    <s v="Konieczny"/>
    <s v="patryk.konieczny@zhp.net.pl"/>
    <s v="+48501679756"/>
    <m/>
    <x v="7"/>
    <s v="Zwiazek Harcerstwa Polskiego"/>
    <s v="Czarne Siódemki"/>
    <n v="347"/>
    <s v="Cieszyn"/>
    <n v="12"/>
    <n v="2"/>
    <s v="Friday"/>
    <s v="15:00 - 18:00"/>
    <s v="Monday"/>
    <s v="09:00 - 12:00"/>
    <s v="We would like to be as close as possible on intercamp campsite to our friendly scout team called Watrzaki. Thanks in advance."/>
    <s v="IST-10906"/>
    <n v="350"/>
    <s v="Mollie"/>
    <s v="2025-02-05 12:39:54"/>
    <n v="1738759194"/>
    <m/>
    <m/>
  </r>
  <r>
    <n v="93"/>
    <s v="Nikola"/>
    <s v="Mulewska"/>
    <s v="nikola.mulewska@zhp.net.pl"/>
    <s v="+48505834404"/>
    <m/>
    <x v="7"/>
    <s v="Zwiazek Harcerstwa Polskiego"/>
    <s v="71N"/>
    <n v="71"/>
    <s v="Gdańsk"/>
    <n v="8"/>
    <n v="1"/>
    <s v="Friday"/>
    <s v="15:00 - 18:00"/>
    <s v="Monday"/>
    <s v="09:00 - 12:00"/>
    <s v="In there is an option we wolud like to be togeter with 71A, 76 Silva, 74 GDH „Kotwice”, 78 Dianthus and when still tehre is posibility we would like to be also with 98 Płomienne zorze, 94 GDSH ,,Venga, vamos!&quot;, Nebula. Thank you!"/>
    <s v="IST-17468"/>
    <n v="225"/>
    <s v="Mollie"/>
    <s v="2025-02-05 14:07:06"/>
    <n v="1738764426"/>
    <m/>
    <m/>
  </r>
  <r>
    <n v="94"/>
    <s v="Adrianna"/>
    <s v="Gutowska"/>
    <s v="adrianna.gutowska@zhp.net.pl"/>
    <s v="+48780121856"/>
    <m/>
    <x v="7"/>
    <s v="Zwiazek Harcerstwa Polskiego"/>
    <s v="71 A"/>
    <n v="71"/>
    <s v="Gdańsk"/>
    <n v="7"/>
    <n v="2"/>
    <s v="Friday"/>
    <s v="12:00 - 15:00"/>
    <s v="Monday"/>
    <s v="09:00 - 12:00"/>
    <s v="We are together with 71 N so the amount of children is 15 and we have 3 leaders. So proportions are Preserved."/>
    <s v="IST-11512"/>
    <n v="225"/>
    <s v="Mollie"/>
    <s v="2025-02-05 14:14:47"/>
    <n v="1738764887"/>
    <m/>
    <m/>
  </r>
  <r>
    <n v="95"/>
    <s v="Zuzanna"/>
    <s v="Stankiewicz"/>
    <s v="zuzanna.stankiewicz1@zhp.net.pl"/>
    <s v="+48535225116"/>
    <m/>
    <x v="7"/>
    <s v="Zwiazek Harcerstwa Polskiego"/>
    <s v="Płomienne Zorze"/>
    <n v="98"/>
    <s v="Gdańsk"/>
    <n v="7"/>
    <n v="1"/>
    <s v="Friday"/>
    <s v="12:00 - 15:00"/>
    <s v="Monday"/>
    <s v="09:00 - 12:00"/>
    <s v="In there is an option we wolud like to be togeter with 71A, 71N, 76 Silva, 74 GDH „Kotwice”, 78 Dianthus and when still tehre is posibility we would like to be also with, 94 GDSH ,,Venga, vamos!&quot;, Nebula. Thank you!"/>
    <s v="IST-20772"/>
    <n v="200"/>
    <s v="Mollie"/>
    <s v="2025-02-05 14:19:18"/>
    <n v="1738765158"/>
    <m/>
    <m/>
  </r>
  <r>
    <n v="96"/>
    <s v="Michał"/>
    <s v="Wnuk"/>
    <s v="michal.wnuk@zhp.net.pl"/>
    <s v="+48602672459"/>
    <m/>
    <x v="7"/>
    <s v="Zwiazek Harcerstwa Polskiego"/>
    <s v="Zawiercie 1"/>
    <n v="1"/>
    <s v="Zawiercie"/>
    <n v="13"/>
    <n v="2"/>
    <s v="Friday"/>
    <s v="15:00 - 18:00"/>
    <s v="Monday"/>
    <s v="09:00 - 12:00"/>
    <s v="We ask that the camping area for the patrol &quot;zawiercie 1&quot; and &quot;zawiercie 2&quot; be next to each other. We are the same large group from one city.  Would it be possible for us to spend the night on Thursday at the convention site?"/>
    <s v="IST-63079"/>
    <n v="375"/>
    <s v="Mollie"/>
    <s v="2025-02-05 14:21:53"/>
    <n v="1738765313"/>
    <m/>
    <m/>
  </r>
  <r>
    <n v="97"/>
    <s v="Katarzyna"/>
    <s v="Krzepkowska"/>
    <s v="hufiec@zawiercie.zhp.pl"/>
    <s v="+48602672459"/>
    <m/>
    <x v="7"/>
    <s v="Zwiazek Harcerstwa Polskiego"/>
    <s v="Zawiercie 2"/>
    <n v="2"/>
    <s v="Zawiercie"/>
    <n v="13"/>
    <n v="2"/>
    <s v="Friday"/>
    <s v="15:00 - 18:00"/>
    <s v="Monday"/>
    <s v="09:00 - 12:00"/>
    <s v="We ask that the camping area for the patrol &quot;zawiercie 1&quot; and &quot;zawiercie 2&quot; be next to each other. We are the same large group from one city.  Would it be possible for us to spend the night on Thursday at the convention site?"/>
    <s v="IST-10147"/>
    <n v="375"/>
    <s v="Mollie"/>
    <s v="2025-02-05 14:25:33"/>
    <n v="1738765533"/>
    <m/>
    <m/>
  </r>
  <r>
    <n v="98"/>
    <s v="Jacek"/>
    <s v="Słaby"/>
    <s v="jacek.slaby@zhp.net.pl"/>
    <s v="+48502039396"/>
    <m/>
    <x v="7"/>
    <s v="Zwiazek Harcerstwa Polskiego"/>
    <s v="30 WDH"/>
    <n v="30"/>
    <s v="Warszawa"/>
    <n v="7"/>
    <n v="1"/>
    <s v="Friday"/>
    <s v="15:00 - 18:00"/>
    <s v="Monday"/>
    <s v="09:00 - 12:00"/>
    <m/>
    <s v="IST-19825"/>
    <n v="200"/>
    <s v="Mollie"/>
    <s v="2025-02-05 14:30:41"/>
    <n v="1738765842"/>
    <m/>
    <m/>
  </r>
  <r>
    <n v="99"/>
    <s v="Marta"/>
    <s v="Zielińska"/>
    <s v="marta.zielinska@zhp.net.pl"/>
    <s v="+48535775774"/>
    <m/>
    <x v="7"/>
    <s v="Zwiazek Harcerstwa Polskiego"/>
    <s v="424 DS &quot;Żywioły&quot;"/>
    <n v="424"/>
    <s v="Izabelin"/>
    <n v="13"/>
    <n v="2"/>
    <s v="Friday"/>
    <s v="18:00 - 21:00"/>
    <s v="Monday"/>
    <s v="09:00 - 12:00"/>
    <m/>
    <s v="IST-11217"/>
    <n v="375"/>
    <s v="Mollie"/>
    <s v="2025-02-05 15:33:27"/>
    <n v="1738769607"/>
    <m/>
    <m/>
  </r>
  <r>
    <n v="100"/>
    <s v="Filip"/>
    <s v="Fišer"/>
    <s v="fiser-filip@seznam.cz"/>
    <s v="+420731993016"/>
    <s v="Junák - český skaut, středisko Vamberk, z. s. Ič.: 42885311 V Lukách 598, 517 54 Vamberk"/>
    <x v="6"/>
    <s v="JUNAK - cesky skaut"/>
    <s v="2. Oddíl (DSS)"/>
    <s v="524.09.002"/>
    <s v="Vamberk"/>
    <n v="6"/>
    <n v="2"/>
    <s v="Friday"/>
    <s v="09:00 - 12:00"/>
    <s v="Monday"/>
    <s v="09:00 - 12:00"/>
    <s v="the second leader Jaroslav Vašátko  +420 733 580 760 jaroslav.vasatko@seznam.cz"/>
    <s v="IST-21179"/>
    <n v="200"/>
    <s v="Mollie"/>
    <s v="2025-02-07 14:42:26"/>
    <n v="1738939346"/>
    <m/>
    <m/>
  </r>
  <r>
    <n v="101"/>
    <s v="Martin"/>
    <s v="Matyáš"/>
    <s v="matyasmartin0@gmail.com"/>
    <s v="+420608642615"/>
    <m/>
    <x v="6"/>
    <s v="JUNAK - cesky skaut"/>
    <s v="Tumulus Újezd u Brna aneb děcka, pecka, pojedeme do Německa"/>
    <n v="623.14"/>
    <s v="Újezd u Brna"/>
    <n v="5"/>
    <n v="1"/>
    <s v="Friday"/>
    <s v="15:00 - 18:00"/>
    <s v="Monday"/>
    <s v="12:00 - 15:00"/>
    <m/>
    <s v="IST-30049"/>
    <n v="150"/>
    <s v="Mollie"/>
    <s v="2025-02-09 18:29:12"/>
    <n v="1739125752"/>
    <m/>
    <m/>
  </r>
  <r>
    <n v="102"/>
    <s v="Aaron"/>
    <s v="Hobbins"/>
    <s v="aaron.hobbins@gmail.com"/>
    <s v="+4915254780318"/>
    <s v="Mailing address: An den Hopfengaerten 1, 67722 Winnweiler"/>
    <x v="3"/>
    <s v="Boy Scouts of America - Transatlantic Council"/>
    <s v="Troop 69 Vogelweh"/>
    <s v="T69B"/>
    <s v="Kaiserslautern"/>
    <n v="6"/>
    <n v="2"/>
    <s v="Friday"/>
    <s v="18:00 - 21:00"/>
    <s v="Sunday"/>
    <s v="12:00 - 15:00"/>
    <m/>
    <s v="IST-70602"/>
    <n v="200"/>
    <s v="Mollie"/>
    <s v="2025-02-09 19:05:08"/>
    <n v="1739127908"/>
    <m/>
    <s v="Additional request"/>
  </r>
  <r>
    <n v="103"/>
    <s v="Bára"/>
    <s v="Matoušová"/>
    <s v="matousova.bara@skaut.cz"/>
    <s v="+420605989853"/>
    <m/>
    <x v="6"/>
    <s v="JUNAK - cesky skaut"/>
    <s v="Fata Morgana"/>
    <n v="523.1"/>
    <s v="Nové Město nad Metují"/>
    <n v="5"/>
    <n v="1"/>
    <s v="Friday"/>
    <s v="09:00 - 12:00"/>
    <s v="Monday"/>
    <s v="12:00 - 15:00"/>
    <m/>
    <s v="IST-64369"/>
    <n v="150"/>
    <s v="Mollie"/>
    <s v="2025-02-10 13:55:50"/>
    <n v="1739195751"/>
    <m/>
    <m/>
  </r>
  <r>
    <n v="104"/>
    <s v="Pavel"/>
    <s v="Čechura"/>
    <s v="pavelcechura@seznam.cz"/>
    <s v="+420607927028"/>
    <m/>
    <x v="6"/>
    <s v="JUNAK - cesky skaut"/>
    <s v="Třebechovice"/>
    <n v="521.01"/>
    <s v="Třebechovice pod Orebem"/>
    <n v="20"/>
    <n v="4"/>
    <s v="Friday"/>
    <s v="09:00 - 12:00"/>
    <s v="Monday"/>
    <s v="09:00 - 12:00"/>
    <m/>
    <s v="IST-84861"/>
    <n v="600"/>
    <s v="Mollie"/>
    <s v="2025-02-10 16:39:41"/>
    <n v="1739205581"/>
    <m/>
    <m/>
  </r>
  <r>
    <n v="105"/>
    <s v="Kateřina"/>
    <s v="Čechová"/>
    <s v="albus@skaut.cz"/>
    <s v="+420602144407"/>
    <s v="Junák – český skaut, středisko Bílý los Praha, z. s. , Praha   Liborova 470/2, Praha 6 – Břevnov, 16900  IČ: 61389650"/>
    <x v="6"/>
    <s v="JUNAK - cesky skaut"/>
    <s v="Bílý los"/>
    <n v="116.33"/>
    <s v="Prague"/>
    <n v="6"/>
    <n v="1"/>
    <s v="Friday"/>
    <s v="15:00 - 18:00"/>
    <s v="Monday"/>
    <s v="12:00 - 15:00"/>
    <s v="Hello, we are not sure about out arrival and departure time, but I think we will be flexible about that. We are going to order bus with another few troops form our area. Greets, Katka Čechová  - Albus."/>
    <s v="IST-15861"/>
    <n v="175"/>
    <s v="Mollie"/>
    <s v="2025-02-10 18:13:21"/>
    <n v="1739211201"/>
    <m/>
    <m/>
  </r>
  <r>
    <n v="106"/>
    <s v="Miroslav"/>
    <s v="Král"/>
    <s v="usteckadvojka@gmail.com"/>
    <s v="+420605567227"/>
    <m/>
    <x v="6"/>
    <s v="JUNAK - cesky skaut"/>
    <s v="Ústecká dvojka"/>
    <s v="427.01.002"/>
    <s v="Ústí nad Labem"/>
    <n v="20"/>
    <n v="4"/>
    <s v="Friday"/>
    <s v="15:00 - 18:00"/>
    <s v="Monday"/>
    <s v="09:00 - 12:00"/>
    <m/>
    <s v="IST-21250"/>
    <n v="600"/>
    <s v="Mollie"/>
    <s v="2025-02-11 16:48:31"/>
    <n v="1739292511"/>
    <m/>
    <m/>
  </r>
  <r>
    <n v="107"/>
    <s v="Karolina"/>
    <s v="Litwińska"/>
    <s v="karolina.liwinska@zhp.net.pl"/>
    <s v="+48 799196515"/>
    <s v="Strumień 58"/>
    <x v="7"/>
    <s v="Zwiazek Harcerstwa Polskiego"/>
    <s v="Strumień 58"/>
    <n v="58"/>
    <s v="Łódź"/>
    <n v="14"/>
    <n v="2"/>
    <s v="Friday"/>
    <s v="18:00 - 21:00"/>
    <s v="Monday"/>
    <s v="09:00 - 12:00"/>
    <m/>
    <s v="IST-17075"/>
    <n v="375"/>
    <s v="Mollie"/>
    <s v="2025-02-16 21:27:46"/>
    <n v="1739741266"/>
    <s v="Plus 1 to pay"/>
    <m/>
  </r>
  <r>
    <n v="108"/>
    <s v="Michał"/>
    <s v="Święcicki"/>
    <s v="michal.swiecicki@zhp.net.pl"/>
    <s v="+48511267708"/>
    <m/>
    <x v="7"/>
    <s v="Zwiazek Harcerstwa Polskiego"/>
    <s v="Granda"/>
    <n v="420"/>
    <s v="Warszawa"/>
    <n v="8"/>
    <n v="2"/>
    <s v="Friday"/>
    <s v="18:00 - 21:00"/>
    <s v="Monday"/>
    <s v="09:00 - 12:00"/>
    <m/>
    <s v="IST-20570"/>
    <n v="250"/>
    <s v="Mollie"/>
    <s v="2025-02-16 21:37:27"/>
    <n v="1739741847"/>
    <m/>
    <m/>
  </r>
  <r>
    <n v="109"/>
    <s v="Julia"/>
    <s v="Kinderman"/>
    <s v="julia.kinderman@zhp.net.pl"/>
    <s v="+48519656858"/>
    <m/>
    <x v="7"/>
    <s v="Zwiazek Harcerstwa Polskiego"/>
    <s v="Gwardians"/>
    <n v="96"/>
    <s v="Łódź"/>
    <n v="14"/>
    <n v="2"/>
    <s v="Friday"/>
    <s v="12:00 - 15:00"/>
    <s v="Monday"/>
    <s v="09:00 - 12:00"/>
    <m/>
    <s v="IST-18637"/>
    <n v="400"/>
    <s v="Mollie"/>
    <s v="2025-02-16 21:41:39"/>
    <n v="1739742099"/>
    <m/>
    <m/>
  </r>
  <r>
    <n v="110"/>
    <s v="Damian"/>
    <s v="Wojciechowski"/>
    <s v="damian.wojciechowski@zhp.net.pl"/>
    <s v="+48530259321"/>
    <m/>
    <x v="7"/>
    <s v="Zwiazek Harcerstwa Polskiego"/>
    <s v="7 DH Arkana"/>
    <n v="7"/>
    <s v="Ząbki"/>
    <n v="15"/>
    <n v="2"/>
    <s v="Friday"/>
    <s v="15:00 - 18:00"/>
    <s v="Monday"/>
    <s v="09:00 - 12:00"/>
    <m/>
    <s v="IST-20119"/>
    <n v="425"/>
    <s v="Mollie"/>
    <s v="2025-02-16 21:44:20"/>
    <n v="1739742260"/>
    <m/>
    <m/>
  </r>
  <r>
    <n v="111"/>
    <s v="Wolfgang"/>
    <s v="Otto"/>
    <s v="scouterwolfgang@aol.com"/>
    <s v="+4915753131324"/>
    <m/>
    <x v="2"/>
    <s v="Deutsche Pfadfinderschaft Sankt Georg"/>
    <s v="DPSG Moers St. Josef"/>
    <s v="14/08/01"/>
    <s v="Moers"/>
    <n v="17"/>
    <n v="3"/>
    <s v="Friday"/>
    <s v="18:00 - 21:00"/>
    <s v="Please select"/>
    <s v="09:00 - 12:00"/>
    <s v="Our Trailer is part of our kitchen. So it has to sty on our campsite!"/>
    <s v="IST-21261"/>
    <n v="500"/>
    <s v="Mollie"/>
    <s v="2025-02-17 01:00:14"/>
    <n v="1739754014"/>
    <m/>
    <m/>
  </r>
  <r>
    <n v="112"/>
    <s v="Michal"/>
    <s v="Sýkora"/>
    <s v="sykoramichal@skaut.cz"/>
    <s v="+420739102827"/>
    <m/>
    <x v="6"/>
    <s v="JUNAK - cesky skaut"/>
    <s v="AD FONTES"/>
    <n v="621.08000000000004"/>
    <s v="Šebrov - Kateřina"/>
    <n v="20"/>
    <n v="4"/>
    <s v="Friday"/>
    <s v="09:00 - 12:00"/>
    <s v="Monday"/>
    <s v="09:00 - 12:00"/>
    <m/>
    <s v="IST-54943"/>
    <n v="600"/>
    <s v="Mollie"/>
    <s v="2025-02-17 21:05:42"/>
    <n v="1739826342"/>
    <m/>
    <m/>
  </r>
  <r>
    <n v="113"/>
    <s v="Rick"/>
    <s v="Galeano"/>
    <s v="rick_galeano@hotmail.com"/>
    <s v="+491745407463"/>
    <m/>
    <x v="3"/>
    <s v="Boy Scouts of America - Transatlantic Council"/>
    <s v="Panzer Troop 44"/>
    <n v="44"/>
    <s v="Boeblingen"/>
    <n v="10"/>
    <n v="6"/>
    <s v="Friday"/>
    <s v="18:00 - 21:00"/>
    <s v="Monday"/>
    <s v="09:00 - 12:00"/>
    <m/>
    <s v="IST-17058"/>
    <n v="400"/>
    <s v="Mollie"/>
    <s v="2025-02-23 17:37:11"/>
    <n v="1740332231"/>
    <m/>
    <m/>
  </r>
  <r>
    <n v="114"/>
    <s v="Emilia "/>
    <s v="Skrzypek"/>
    <s v="emilia.skrzypek@zhp.net.pl"/>
    <s v="+48530259321"/>
    <m/>
    <x v="7"/>
    <s v="Zwiazek Harcerstwa Polskiego"/>
    <s v="Czata wymiata"/>
    <n v="19"/>
    <s v="Mosina"/>
    <n v="15"/>
    <n v="2"/>
    <s v="Friday"/>
    <s v="15:00 - 18:00"/>
    <s v="Monday"/>
    <s v="09:00 - 12:00"/>
    <m/>
    <s v="IST-96201"/>
    <n v="425"/>
    <s v="Mollie"/>
    <s v="2025-02-23 18:30:20"/>
    <n v="1740335420"/>
    <m/>
    <m/>
  </r>
  <r>
    <n v="115"/>
    <s v="Patrycja"/>
    <s v="Kiryluk"/>
    <s v="patrycja.kiryluk@zhp.net.pl"/>
    <s v="+48 604948623"/>
    <m/>
    <x v="7"/>
    <s v="Zwiazek Harcerstwa Polskiego"/>
    <s v="FDDH 2"/>
    <n v="2"/>
    <s v="Morąg"/>
    <n v="15"/>
    <n v="2"/>
    <s v="Friday"/>
    <s v="09:00 - 12:00"/>
    <s v="Monday"/>
    <s v="09:00 - 12:00"/>
    <s v="We would be grateful if you could place our two teams, FDDH 1 and FDDH 2, in the same subcamp during the Intercamp. We don’t have enough equipment to divide between the teams, and we are part of the same scout group."/>
    <s v="IST-83825"/>
    <n v="400"/>
    <s v="Mollie"/>
    <s v="2025-02-23 18:34:30"/>
    <n v="1740335670"/>
    <s v="Plus 1 to pay"/>
    <m/>
  </r>
  <r>
    <n v="116"/>
    <s v="Kamil"/>
    <s v="Sagan"/>
    <s v="kamil.sagan@zhp.net.pl"/>
    <s v="+48795599749"/>
    <m/>
    <x v="7"/>
    <s v="Zwiazek Harcerstwa Polskiego"/>
    <s v="HSDeserterzy"/>
    <n v="9"/>
    <s v="Kraków"/>
    <n v="10"/>
    <n v="2"/>
    <s v="Friday"/>
    <s v="18:00 - 21:00"/>
    <s v="Monday"/>
    <s v="09:00 - 12:00"/>
    <m/>
    <s v="IST-16632"/>
    <n v="300"/>
    <s v="Mollie"/>
    <s v="2025-02-23 18:38:33"/>
    <n v="1740335913"/>
    <m/>
    <m/>
  </r>
  <r>
    <n v="117"/>
    <s v="Jakub"/>
    <s v="Jędras"/>
    <s v="jakub.jedras@zhp.net.pl"/>
    <s v="+48606891044"/>
    <m/>
    <x v="7"/>
    <s v="Zwiazek Harcerstwa Polskiego"/>
    <s v="HSDeserterki"/>
    <n v="9"/>
    <s v="Kraków"/>
    <n v="5"/>
    <n v="1"/>
    <s v="Friday"/>
    <s v="15:00 - 18:00"/>
    <s v="Monday"/>
    <s v="09:00 - 12:00"/>
    <m/>
    <s v="IST-17214"/>
    <n v="150"/>
    <s v="Mollie"/>
    <s v="2025-02-23 18:44:55"/>
    <n v="1740336295"/>
    <m/>
    <m/>
  </r>
  <r>
    <n v="118"/>
    <s v="Maciej"/>
    <s v="Rogowicz"/>
    <s v="maciej.rogowicz@zhp.net.pl"/>
    <s v="+48666677498"/>
    <m/>
    <x v="7"/>
    <s v="Zwiazek Harcerstwa Polskiego"/>
    <s v="Nebula"/>
    <n v="141"/>
    <s v="Gdańsk"/>
    <n v="16"/>
    <n v="1"/>
    <s v="Friday"/>
    <s v="15:00 - 18:00"/>
    <s v="Monday"/>
    <s v="09:00 - 12:00"/>
    <s v="We wolud like to be togeter with 76 Silva, 74 Kotwice, 71A and 71N, plomienne zorze, venda vamos and diathus, if it is possible or at least partly together"/>
    <s v="IST-19439"/>
    <n v="425"/>
    <s v="Mollie"/>
    <s v="2025-02-23 18:49:46"/>
    <n v="1740336586"/>
    <m/>
    <m/>
  </r>
  <r>
    <n v="119"/>
    <s v="Dominik Jeffrey"/>
    <s v="Rimaszauskas"/>
    <s v="dominik.rimaszauskas@zhp.net.pl"/>
    <s v="+48535037130"/>
    <m/>
    <x v="7"/>
    <s v="Zwiazek Harcerstwa Polskiego"/>
    <s v="FDDH 1"/>
    <n v="8"/>
    <s v="MORĄG"/>
    <n v="15"/>
    <n v="2"/>
    <s v="Friday"/>
    <s v="15:00 - 18:00"/>
    <s v="Monday"/>
    <s v="09:00 - 12:00"/>
    <m/>
    <s v="IST-33514"/>
    <n v="425"/>
    <s v="Mollie"/>
    <s v="2025-02-23 18:53:04"/>
    <n v="1740336784"/>
    <m/>
    <m/>
  </r>
  <r>
    <n v="120"/>
    <s v="Izabela"/>
    <s v="Kucmin-Bemelmans"/>
    <s v="izabela.kucmin-bemelmans@zhp.net.pl"/>
    <s v="+48692277074"/>
    <m/>
    <x v="7"/>
    <s v="Zwiazek Harcerstwa Polskiego"/>
    <s v="Skalne Nietoperze"/>
    <n v="89"/>
    <s v="Biały Kościół"/>
    <n v="15"/>
    <n v="2"/>
    <s v="Friday"/>
    <s v="15:00 - 18:00"/>
    <s v="Monday"/>
    <s v="09:00 - 12:00"/>
    <m/>
    <s v="IST-18955"/>
    <n v="425"/>
    <s v="Mollie"/>
    <s v="2025-02-23 19:26:55"/>
    <n v="1740338815"/>
    <m/>
    <m/>
  </r>
  <r>
    <n v="121"/>
    <s v="Sabina"/>
    <s v="Konieczny"/>
    <s v="sabina.konieczny@zhp.net.pl"/>
    <s v="+48"/>
    <m/>
    <x v="7"/>
    <s v="Zwiazek Harcerstwa Polskiego"/>
    <s v="Watrzaki"/>
    <n v="25"/>
    <s v="Brenna"/>
    <n v="11"/>
    <n v="1"/>
    <s v="Friday"/>
    <s v="18:00 - 21:00"/>
    <s v="Monday"/>
    <s v="09:00 - 12:00"/>
    <s v="We come to intercamp with &quot;Czarne Siódemki&quot; team and we ask you to be together at the camp."/>
    <s v="IST-18013"/>
    <n v="300"/>
    <s v="Mollie"/>
    <s v="2025-02-23 19:35:56"/>
    <n v="1740339356"/>
    <m/>
    <m/>
  </r>
  <r>
    <n v="122"/>
    <s v="Julia"/>
    <s v="Sało"/>
    <s v="julia.salo@zhp.net.pl"/>
    <s v="+48513504409"/>
    <m/>
    <x v="7"/>
    <s v="Zwiazek Harcerstwa Polskiego"/>
    <s v="Feniksiątka"/>
    <n v="234"/>
    <s v="Warszawa"/>
    <n v="9"/>
    <n v="2"/>
    <s v="Friday"/>
    <s v="15:00 - 18:00"/>
    <s v="Monday"/>
    <s v="09:00 - 12:00"/>
    <s v="Our patrol is from one team with the Feniksiaki patrol (leader-Joanna Zubek). If it would be possible, we would appreciate being located at a common camping spot, as we will share tents and equipment. Likewise with activities-we will be grateful if our hikes and activities are scheduled on the same days."/>
    <s v="IST-17697"/>
    <n v="275"/>
    <s v="Mollie"/>
    <s v="2025-02-23 20:21:28"/>
    <n v="1740342088"/>
    <m/>
    <m/>
  </r>
  <r>
    <n v="123"/>
    <s v="Dorota"/>
    <s v="Kułaga"/>
    <s v="dorota.kulaga@zhp.net.pl"/>
    <s v="+48510454231"/>
    <m/>
    <x v="7"/>
    <s v="Zwiazek Harcerstwa Polskiego"/>
    <s v="74 GDH „Kotwice”"/>
    <n v="74"/>
    <s v="Gdańsk"/>
    <n v="8"/>
    <n v="2"/>
    <s v="Friday"/>
    <s v="15:00 - 18:00"/>
    <s v="Monday"/>
    <s v="09:00 - 12:00"/>
    <s v="If possible we would like to be togetger with all troops from Gdańsk or partly with them. (71A, 71N, 76 Silva, 141 Nebula, plomienne zorze, venda vamos, diathus)"/>
    <s v="IST-31679"/>
    <n v="250"/>
    <s v="Mollie"/>
    <s v="2025-02-23 20:30:09"/>
    <n v="1740342609"/>
    <m/>
    <m/>
  </r>
  <r>
    <n v="124"/>
    <s v="Aleksandra"/>
    <s v="Mocarska"/>
    <s v="aleksandra.mocarska@zhp.net.pl"/>
    <s v="+48881202503"/>
    <m/>
    <x v="7"/>
    <s v="Zwiazek Harcerstwa Polskiego"/>
    <s v="Dianthus"/>
    <n v="78"/>
    <s v="Gdańsk"/>
    <n v="8"/>
    <n v="1"/>
    <s v="Friday"/>
    <s v="15:00 - 18:00"/>
    <s v="Monday"/>
    <s v="09:00 - 12:00"/>
    <s v="If possible we would like to be together with 71A, 71N, 76 Silva, 74 Kotwice, 141 Nebula, plomienne zorze and venda vamos. Thank you!"/>
    <s v="IST-10409"/>
    <n v="225"/>
    <s v="Mollie"/>
    <s v="2025-02-23 20:34:23"/>
    <n v="1740342863"/>
    <m/>
    <m/>
  </r>
  <r>
    <n v="125"/>
    <s v="Roberto"/>
    <s v="Baltazar"/>
    <s v="bltzrr@gmail.com"/>
    <s v="+494915117534988"/>
    <m/>
    <x v="3"/>
    <s v="Boy Scouts of America - Transatlantic Council"/>
    <s v="Radioactive"/>
    <n v="156"/>
    <s v="Ramstein"/>
    <n v="7"/>
    <n v="3"/>
    <s v="Friday"/>
    <s v="18:00 - 21:00"/>
    <s v="Monday"/>
    <s v="09:00 - 12:00"/>
    <m/>
    <s v="IST-12623"/>
    <n v="250"/>
    <s v="Mollie"/>
    <s v="2025-02-25 20:47:16"/>
    <n v="1740516436"/>
    <m/>
    <m/>
  </r>
  <r>
    <n v="126"/>
    <s v="JASON"/>
    <s v="MUELLER"/>
    <s v="jmueller6002@yahoo.com"/>
    <s v="+4915209233692"/>
    <m/>
    <x v="3"/>
    <s v="Boy Scouts of America - Transatlantic Council"/>
    <n v="303"/>
    <s v="0303"/>
    <s v="Hohenfels"/>
    <n v="8"/>
    <n v="3"/>
    <s v="Friday"/>
    <s v="12:00 - 15:00"/>
    <s v="Monday"/>
    <s v="12:00 - 15:00"/>
    <m/>
    <s v="IST-40890"/>
    <n v="275"/>
    <s v="Mollie"/>
    <s v="2025-02-27 18:28:15"/>
    <n v="1740680895"/>
    <m/>
    <m/>
  </r>
  <r>
    <n v="127"/>
    <s v="Marie Anna"/>
    <s v="Chlachulová"/>
    <s v="mchlachulov.a@seznam.cz"/>
    <s v="+420773883110"/>
    <m/>
    <x v="6"/>
    <s v="JUNAK - cesky skaut"/>
    <s v="Mustangové"/>
    <n v="722.01"/>
    <s v="Uherské Hradiště"/>
    <n v="8"/>
    <n v="2"/>
    <s v="Friday"/>
    <s v="15:00 - 18:00"/>
    <s v="Monday"/>
    <s v="09:00 - 12:00"/>
    <s v="We have 2 leaders And 8 children, since we have both just turned 18 And we have no previous experience travelling with kids alone, we think it will be more responsible and safer to travel abroad with the kids with 2 leaders ."/>
    <s v="IST-81116"/>
    <n v="250"/>
    <s v="Mollie"/>
    <s v="2025-03-04 16:42:05"/>
    <n v="1741106525"/>
    <m/>
    <m/>
  </r>
  <r>
    <n v="128"/>
    <s v="Robert"/>
    <s v="Munson"/>
    <s v="nebr_bob@hotmail.com"/>
    <s v="+4915234636794"/>
    <s v="contact me for payment"/>
    <x v="3"/>
    <s v="Boy Scouts of America - Transatlantic Council"/>
    <s v="Troop"/>
    <n v="56"/>
    <s v="Bonn"/>
    <n v="9"/>
    <n v="3"/>
    <s v="Friday"/>
    <s v="18:00 - 21:00"/>
    <s v="Monday"/>
    <s v="09:00 - 12:00"/>
    <s v="We need the leaders to drive"/>
    <s v="IST-12948"/>
    <n v="300"/>
    <s v="Mollie"/>
    <s v="2025-03-09 15:56:31"/>
    <n v="1741535792"/>
    <m/>
    <m/>
  </r>
  <r>
    <n v="129"/>
    <s v="Kristin"/>
    <s v="Heist"/>
    <s v="kristin310@hotmail.com"/>
    <s v="+32491994561"/>
    <m/>
    <x v="3"/>
    <s v="Boy Scouts of America - Transatlantic Council"/>
    <s v="Scouting America Troop 325G"/>
    <s v="325G"/>
    <s v="SHAPE"/>
    <n v="12"/>
    <n v="4"/>
    <s v="Friday"/>
    <s v="21:00 - 00:00"/>
    <s v="Monday"/>
    <s v="09:00 - 12:00"/>
    <s v="Traveling extra adults due to travel from other locations."/>
    <s v="IST-51638"/>
    <n v="400"/>
    <s v="Mollie"/>
    <s v="2025-03-18 18:43:11"/>
    <n v="1742323392"/>
    <m/>
    <m/>
  </r>
  <r>
    <n v="130"/>
    <s v="Mikuláš"/>
    <s v="Jandík"/>
    <s v="jandik.mikulasz@gmail.com"/>
    <s v="+420731743330"/>
    <s v="Junák - český skaut, Středisko bratří Mašínů Praha z. s., Čihákova 1791/20, Praha 9, 190 00"/>
    <x v="6"/>
    <s v="JUNAK - cesky skaut"/>
    <s v="Ginkgo"/>
    <n v="112.53"/>
    <s v="Praha"/>
    <n v="13"/>
    <n v="2"/>
    <s v="Friday"/>
    <s v="18:00 - 21:00"/>
    <s v="Monday"/>
    <s v="09:00 - 12:00"/>
    <s v="It is possible that we will arrive at a different time (during Friday afternoon or evening)."/>
    <s v="IST-18827"/>
    <n v="375"/>
    <s v="Mollie"/>
    <s v="2025-03-20 17:00:41"/>
    <n v="1742490041"/>
    <m/>
    <m/>
  </r>
  <r>
    <n v="131"/>
    <s v="Chris"/>
    <s v="Watts"/>
    <s v="cbrannonwatts@gmail.com"/>
    <s v="+18153120177"/>
    <s v="SHAPE BSA Troop 325B (the Boys' Troop) - please use my Belgian phone number for any correspondence +32 470 65 90 01, or my email: cbrannonwatts@gmail.com."/>
    <x v="3"/>
    <s v="Boy Scouts of America - Transatlantic Council"/>
    <s v="SHAPE Troop 325B"/>
    <s v="325B"/>
    <s v="SHAPE"/>
    <n v="12"/>
    <n v="4"/>
    <s v="Friday"/>
    <s v="21:00 - 00:00"/>
    <s v="Monday"/>
    <s v="09:00 - 12:00"/>
    <s v="If I have any cancellations or changes, who do I contact? I am not anticipating changes, but things do come up."/>
    <s v="IST-37418"/>
    <n v="400"/>
    <s v="Mollie"/>
    <s v="2025-03-21 08:48:14"/>
    <n v="1742546894"/>
    <m/>
    <m/>
  </r>
  <r>
    <n v="132"/>
    <s v="Henry"/>
    <s v="Williams"/>
    <s v="tomnkt98@gmail.com"/>
    <s v="+14104249248"/>
    <m/>
    <x v="3"/>
    <s v="Boy Scouts of America - Transatlantic Council"/>
    <s v="Scout Troop 154 (Boys)"/>
    <s v="Troop 0154 (BT)"/>
    <s v="Stuttgart"/>
    <n v="11"/>
    <n v="3"/>
    <s v="Friday"/>
    <s v="12:00 - 15:00"/>
    <s v="Monday"/>
    <s v="09:00 - 12:00"/>
    <s v="We also have a scout who paid with Troop 324, also from Stuttgart, but transferred to our troop. Please add that individual to our count so we are provided the correct number of camping slots, wristbands, patches, etc.  Using three adults to assist with transportation of scouts and gear. Most of our scouts are on the the younger side, so the extra leader will help."/>
    <s v="IST-17804"/>
    <n v="350"/>
    <s v="Mollie"/>
    <s v="2025-03-22 16:45:29"/>
    <n v="1742661930"/>
    <m/>
    <m/>
  </r>
  <r>
    <n v="133"/>
    <s v="Joanna "/>
    <s v="Zubek"/>
    <s v="joanna.zubek@zhp.net.pl"/>
    <s v="+48 534152804"/>
    <m/>
    <x v="7"/>
    <s v="Zwiazek Harcerstwa Polskiego"/>
    <s v="Feniksiaki "/>
    <n v="234"/>
    <s v="Warszawa"/>
    <n v="10"/>
    <n v="2"/>
    <s v="Friday"/>
    <s v="15:00 - 18:00"/>
    <s v="Monday"/>
    <s v="09:00 - 12:00"/>
    <s v="Our patrol is from one team with the Feniksiątka patrol (leader-Julia Sało). If it would be possible, we would appreciate being located at a common camping spot, as we will share tents and equipment. Likewise with activities-we will be grateful if our hikes and activities are scheduled on the same days. "/>
    <s v="IST"/>
    <m/>
    <m/>
    <m/>
    <m/>
    <s v="300 euro to be paid"/>
    <n v="300"/>
  </r>
  <r>
    <n v="134"/>
    <s v="Pola "/>
    <s v="Drygiel"/>
    <s v="pola.drygiel@zhp.pl"/>
    <s v="+48 602497212"/>
    <m/>
    <x v="7"/>
    <s v="Zwiazek Harcerstwa Polskiego"/>
    <s v="Kociaki górą"/>
    <n v="211"/>
    <s v="warszawa"/>
    <n v="9"/>
    <n v="2"/>
    <s v="Friday"/>
    <s v="15:00 - 18:00"/>
    <s v="Monday"/>
    <s v="09:00 - 12:00"/>
    <m/>
    <m/>
    <m/>
    <m/>
    <m/>
    <m/>
    <s v="275 euro to be paid"/>
    <n v="275"/>
  </r>
  <r>
    <n v="135"/>
    <s v="Sabina "/>
    <s v="Gurowiec "/>
    <s v="sabina.gurowiec@zhp.net.pl"/>
    <s v="+48 509632613"/>
    <m/>
    <x v="7"/>
    <s v="Zwiazek Harcerstwa Polskiego"/>
    <s v="16 Drużyna Harcerska Tarnowskie Góry "/>
    <n v="16"/>
    <s v="Tarnowskie Góry "/>
    <n v="15"/>
    <n v="2"/>
    <s v="Friday"/>
    <s v="15:00 - 18:00"/>
    <s v="Monday"/>
    <s v="09:00 - 12:00"/>
    <m/>
    <m/>
    <m/>
    <m/>
    <m/>
    <m/>
    <s v="425 euro to be paid"/>
    <n v="425"/>
  </r>
  <r>
    <n v="136"/>
    <s v="Katarzyna  "/>
    <s v="Kwiatkowska"/>
    <s v="katarzyna.kwiatkowska@zhp.net.pl"/>
    <s v="+48 502601077"/>
    <m/>
    <x v="7"/>
    <s v="Zwiazek Harcerstwa Polskiego"/>
    <s v="Włóczykije 1"/>
    <s v="30 WDH"/>
    <s v="Warszawa"/>
    <n v="7"/>
    <n v="2"/>
    <s v="Friday"/>
    <s v="15:00 - 18:00"/>
    <s v="Monday"/>
    <s v="09:00 - 12:00"/>
    <m/>
    <m/>
    <m/>
    <m/>
    <m/>
    <m/>
    <s v="225 euro to be paid"/>
    <n v="225"/>
  </r>
  <r>
    <n v="137"/>
    <s v="Stanisław "/>
    <s v="Szymczykowski"/>
    <s v="stanislaw.szymczykowski@zhp.net.pl"/>
    <s v="+48 784118055"/>
    <m/>
    <x v="7"/>
    <s v="Zwiazek Harcerstwa Polskiego"/>
    <s v="Błękitny Zenit"/>
    <s v="147 "/>
    <s v="Warszawa"/>
    <n v="7"/>
    <n v="2"/>
    <s v="Friday"/>
    <s v="15:00 - 18:00"/>
    <s v="Monday"/>
    <s v="09:00 - 12:00"/>
    <m/>
    <m/>
    <m/>
    <m/>
    <m/>
    <m/>
    <s v="225 euro to be paid"/>
    <n v="225"/>
  </r>
  <r>
    <n v="138"/>
    <s v="Iga "/>
    <s v="Woźniak"/>
    <s v="iga.wozniak@zhp.net.pl"/>
    <s v="+48 516061590"/>
    <m/>
    <x v="7"/>
    <s v="Zwiazek Harcerstwa Polskiego"/>
    <s v="94 GDSH ,,Venga, vamos!&quot;"/>
    <n v="94"/>
    <s v="Gdańsk"/>
    <n v="7"/>
    <n v="1"/>
    <s v="Friday"/>
    <s v="15:00 - 18:00"/>
    <s v="Monday"/>
    <s v="09:00 - 12:00"/>
    <m/>
    <m/>
    <m/>
    <m/>
    <m/>
    <m/>
    <s v="200 euro to be paid"/>
    <n v="200"/>
  </r>
  <r>
    <n v="139"/>
    <s v="András"/>
    <s v="Imregh"/>
    <m/>
    <m/>
    <m/>
    <x v="1"/>
    <s v="Magyar Cserkészszövetség"/>
    <m/>
    <m/>
    <s v="Budapest"/>
    <n v="18"/>
    <n v="5"/>
    <s v="Friday"/>
    <s v="15:00 - 18:00"/>
    <s v="Monday"/>
    <s v="09:00 - 12:00"/>
    <m/>
    <m/>
    <m/>
    <m/>
    <m/>
    <m/>
    <s v="575 euro to be paid"/>
    <n v="575"/>
  </r>
  <r>
    <n v="140"/>
    <s v="András"/>
    <s v="Gajdócsi"/>
    <m/>
    <m/>
    <m/>
    <x v="1"/>
    <s v="Magyar Cserkészszövetség"/>
    <m/>
    <m/>
    <s v="Budapest"/>
    <n v="18"/>
    <n v="5"/>
    <s v="Friday"/>
    <s v="15:00 - 18:00"/>
    <s v="Monday"/>
    <s v="09:00 - 12:00"/>
    <m/>
    <m/>
    <m/>
    <m/>
    <m/>
    <m/>
    <s v="575 euro to be paid"/>
    <n v="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372A9-A313-4DA0-9C39-C3C0ADE030B1}" name="Draaitabel1" cacheId="0" applyNumberFormats="0" applyBorderFormats="0" applyFontFormats="0" applyPatternFormats="0" applyAlignmentFormats="0" applyWidthHeightFormats="1" dataCaption="Waarden" updatedVersion="8" minRefreshableVersion="3" useAutoFormatting="1" itemPrintTitles="1" createdVersion="8" indent="0" multipleFieldFilters="0">
  <location ref="B3:D12" firstHeaderRow="0" firstDataRow="1" firstDataCol="1"/>
  <pivotFields count="25">
    <pivotField showAll="0"/>
    <pivotField showAll="0"/>
    <pivotField showAll="0"/>
    <pivotField showAll="0"/>
    <pivotField showAll="0"/>
    <pivotField showAll="0"/>
    <pivotField axis="axisRow" showAll="0">
      <items count="9">
        <item x="4"/>
        <item x="6"/>
        <item x="5"/>
        <item x="2"/>
        <item x="1"/>
        <item x="7"/>
        <item x="0"/>
        <item x="3"/>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Fields count="1">
    <field x="-2"/>
  </colFields>
  <colItems count="2">
    <i>
      <x/>
    </i>
    <i i="1">
      <x v="1"/>
    </i>
  </colItems>
  <dataFields count="2">
    <dataField name="Som van Number of Children" fld="11" baseField="0" baseItem="0"/>
    <dataField name="Som van Number of Leaders" fld="12"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0DC364-FA44-814D-A28C-EE1ACC9888FB}" name="Table1" displayName="Table1" ref="A1:Z139" totalsRowShown="0" headerRowDxfId="10">
  <sortState xmlns:xlrd2="http://schemas.microsoft.com/office/spreadsheetml/2017/richdata2" ref="A2:Y139">
    <sortCondition ref="G1:G139"/>
  </sortState>
  <tableColumns count="26">
    <tableColumn id="1" xr3:uid="{6B39A7F1-4C7C-EA44-ABA7-E889E40FD84F}" name="No"/>
    <tableColumn id="2" xr3:uid="{4046CF4B-998E-DF47-A138-0287CFECB31F}" name="First name" dataDxfId="9"/>
    <tableColumn id="3" xr3:uid="{E6B0AD93-2D54-BB43-A115-2CFB6777ECB3}" name="Last name" dataDxfId="8"/>
    <tableColumn id="4" xr3:uid="{22E8701A-53CF-BF44-A638-7DFD76B08CDF}" name="Email" dataDxfId="7"/>
    <tableColumn id="5" xr3:uid="{349DDB54-95E7-804F-85B3-910994D12447}" name="Mobile phone" dataDxfId="6"/>
    <tableColumn id="6" xr3:uid="{94A854F7-F440-244B-BE7D-4B342F7B815C}" name="Invoice details"/>
    <tableColumn id="7" xr3:uid="{935ECB69-F048-234A-9378-FF0B936E7A91}" name="Country"/>
    <tableColumn id="8" xr3:uid="{EE4AB31D-A458-C643-AA9C-472316D75FED}" name="Scout Association"/>
    <tableColumn id="9" xr3:uid="{689E321F-2080-A14A-AEA3-DD1509C3B17D}" name="Troop name" dataDxfId="5"/>
    <tableColumn id="10" xr3:uid="{F07DF17C-90E0-A341-A3A7-017CDF4898B0}" name="Troop organisation number" dataDxfId="4"/>
    <tableColumn id="11" xr3:uid="{654DED27-9702-5743-8F13-9A7D9054F0B6}" name="City" dataDxfId="3"/>
    <tableColumn id="12" xr3:uid="{AB6955C7-B0F8-F54B-B342-809A3159E187}" name="Number of Children" dataDxfId="2"/>
    <tableColumn id="13" xr3:uid="{29265CBC-7AAE-0D47-B172-B758E58B91BF}" name="Number of Leaders" dataDxfId="1"/>
    <tableColumn id="14" xr3:uid="{44B4CA1B-39DC-C244-BC09-2327C3465E5E}" name="Arrival day"/>
    <tableColumn id="15" xr3:uid="{D24BF252-C2CA-8A4D-900F-5F6D7C560F0E}" name="Arrival time"/>
    <tableColumn id="16" xr3:uid="{C72A0699-59B1-1647-B4D5-75582AFA5A9E}" name="Departure day"/>
    <tableColumn id="17" xr3:uid="{755E4091-BEAA-CC48-9268-ADE0E8FB64EE}" name="Departure time"/>
    <tableColumn id="18" xr3:uid="{83E00B1D-2891-2C45-A161-CD0A1B8128A5}" name="Further remarks (optional)"/>
    <tableColumn id="19" xr3:uid="{ABF9C148-C86A-0543-A3A1-A1C7E790473D}" name="Order Number"/>
    <tableColumn id="20" xr3:uid="{ED2DCEB9-85EC-4D4E-A819-DC633E5A1F33}" name="Total Costs"/>
    <tableColumn id="21" xr3:uid="{1DED6E53-BBEF-8A41-82CA-323857F69C36}" name="Payment Type"/>
    <tableColumn id="22" xr3:uid="{BB9D15B9-D2DE-C548-8213-0407AF395B12}" name="Registration time"/>
    <tableColumn id="23" xr3:uid="{D8A6347B-D6D0-9149-92C3-3085BF2E8DDC}" name="Order Number2"/>
    <tableColumn id="24" xr3:uid="{93F2BDEB-6F1C-7148-9063-AFE8A4CCE6BA}" name="Additional registrants"/>
    <tableColumn id="25" xr3:uid="{05748AC7-69C7-9945-8B88-32BBCC066C1E}" name="Comments RJ:"/>
    <tableColumn id="26" xr3:uid="{5791FD4B-ECAB-194A-A64B-77D4F9D8D2F0}" name="Subcamp " dataDxfId="0"/>
  </tableColumns>
  <tableStyleInfo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couts@sintstanislaus.nl" TargetMode="External"/><Relationship Id="rId2" Type="http://schemas.openxmlformats.org/officeDocument/2006/relationships/hyperlink" Target="mailto:emilia.skrzypek@zhp.net.pl" TargetMode="External"/><Relationship Id="rId1" Type="http://schemas.openxmlformats.org/officeDocument/2006/relationships/hyperlink" Target="mailto:karolina.liwinska@zhp.net.pl" TargetMode="External"/><Relationship Id="rId6" Type="http://schemas.openxmlformats.org/officeDocument/2006/relationships/table" Target="../tables/table1.xml"/><Relationship Id="rId5" Type="http://schemas.openxmlformats.org/officeDocument/2006/relationships/hyperlink" Target="mailto:simon.trousil@seznam.cz" TargetMode="External"/><Relationship Id="rId4" Type="http://schemas.openxmlformats.org/officeDocument/2006/relationships/hyperlink" Target="mailto:marinusfj@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41"/>
  <sheetViews>
    <sheetView tabSelected="1" topLeftCell="O1" zoomScaleNormal="100" workbookViewId="0">
      <selection activeCell="Z16" sqref="Z16"/>
    </sheetView>
  </sheetViews>
  <sheetFormatPr defaultColWidth="8.85546875" defaultRowHeight="15" x14ac:dyDescent="0.25"/>
  <cols>
    <col min="1" max="1" width="6" customWidth="1"/>
    <col min="2" max="2" width="14.85546875" customWidth="1"/>
    <col min="3" max="3" width="18.85546875" customWidth="1"/>
    <col min="4" max="4" width="54" customWidth="1"/>
    <col min="5" max="5" width="18.85546875" customWidth="1"/>
    <col min="6" max="6" width="54" customWidth="1"/>
    <col min="7" max="7" width="20.28515625" customWidth="1"/>
    <col min="8" max="10" width="54" customWidth="1"/>
    <col min="11" max="11" width="31" customWidth="1"/>
    <col min="12" max="12" width="24.28515625" customWidth="1"/>
    <col min="13" max="13" width="23" customWidth="1"/>
    <col min="14" max="14" width="14.85546875" customWidth="1"/>
    <col min="15" max="16" width="17.42578125" customWidth="1"/>
    <col min="17" max="17" width="18.85546875" customWidth="1"/>
    <col min="18" max="18" width="87.85546875" customWidth="1"/>
    <col min="19" max="19" width="16.140625" hidden="1" customWidth="1"/>
    <col min="20" max="20" width="14.85546875" hidden="1" customWidth="1"/>
    <col min="21" max="21" width="16.140625" hidden="1" customWidth="1"/>
    <col min="22" max="22" width="25.7109375" hidden="1" customWidth="1"/>
    <col min="23" max="23" width="16.140625" hidden="1" customWidth="1"/>
    <col min="24" max="24" width="27" hidden="1" customWidth="1"/>
    <col min="25" max="25" width="14.28515625"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1166</v>
      </c>
      <c r="X1" s="1" t="s">
        <v>22</v>
      </c>
      <c r="Y1" s="1" t="s">
        <v>23</v>
      </c>
      <c r="Z1" s="1" t="s">
        <v>1167</v>
      </c>
    </row>
    <row r="2" spans="1:27" x14ac:dyDescent="0.25">
      <c r="A2" s="22">
        <v>33</v>
      </c>
      <c r="B2" s="23" t="s">
        <v>310</v>
      </c>
      <c r="C2" s="23" t="s">
        <v>311</v>
      </c>
      <c r="D2" s="23" t="s">
        <v>312</v>
      </c>
      <c r="E2" s="23" t="s">
        <v>313</v>
      </c>
      <c r="F2" s="23"/>
      <c r="G2" s="23" t="s">
        <v>284</v>
      </c>
      <c r="H2" s="23" t="s">
        <v>314</v>
      </c>
      <c r="I2" s="23" t="s">
        <v>315</v>
      </c>
      <c r="J2" s="23" t="s">
        <v>316</v>
      </c>
      <c r="K2" s="23" t="s">
        <v>317</v>
      </c>
      <c r="L2" s="22">
        <v>15</v>
      </c>
      <c r="M2" s="22">
        <v>5</v>
      </c>
      <c r="N2" s="23" t="s">
        <v>32</v>
      </c>
      <c r="O2" s="23" t="s">
        <v>318</v>
      </c>
      <c r="P2" s="23" t="s">
        <v>34</v>
      </c>
      <c r="Q2" s="23" t="s">
        <v>121</v>
      </c>
      <c r="R2" s="24" t="s">
        <v>319</v>
      </c>
      <c r="S2" s="23" t="s">
        <v>320</v>
      </c>
      <c r="T2" s="25">
        <v>500</v>
      </c>
      <c r="U2" s="23" t="s">
        <v>36</v>
      </c>
      <c r="V2" s="23" t="s">
        <v>321</v>
      </c>
      <c r="W2" s="22">
        <v>1733132524</v>
      </c>
      <c r="X2" s="23"/>
      <c r="Y2" s="23"/>
      <c r="Z2" s="72">
        <v>2</v>
      </c>
    </row>
    <row r="3" spans="1:27" x14ac:dyDescent="0.25">
      <c r="A3" s="22">
        <v>30</v>
      </c>
      <c r="B3" s="23" t="s">
        <v>279</v>
      </c>
      <c r="C3" s="23" t="s">
        <v>280</v>
      </c>
      <c r="D3" s="23" t="s">
        <v>281</v>
      </c>
      <c r="E3" s="23" t="s">
        <v>282</v>
      </c>
      <c r="F3" s="23" t="s">
        <v>283</v>
      </c>
      <c r="G3" s="23" t="s">
        <v>284</v>
      </c>
      <c r="H3" s="24" t="s">
        <v>314</v>
      </c>
      <c r="I3" s="23" t="s">
        <v>285</v>
      </c>
      <c r="J3" s="23" t="s">
        <v>286</v>
      </c>
      <c r="K3" s="23" t="s">
        <v>287</v>
      </c>
      <c r="L3" s="22">
        <v>12</v>
      </c>
      <c r="M3" s="22">
        <v>3</v>
      </c>
      <c r="N3" s="23" t="s">
        <v>32</v>
      </c>
      <c r="O3" s="23" t="s">
        <v>155</v>
      </c>
      <c r="P3" s="23" t="s">
        <v>34</v>
      </c>
      <c r="Q3" s="23" t="s">
        <v>33</v>
      </c>
      <c r="R3" s="23" t="s">
        <v>288</v>
      </c>
      <c r="S3" s="23" t="s">
        <v>289</v>
      </c>
      <c r="T3" s="25">
        <v>375</v>
      </c>
      <c r="U3" s="23" t="s">
        <v>36</v>
      </c>
      <c r="V3" s="23" t="s">
        <v>290</v>
      </c>
      <c r="W3" s="22">
        <v>1733057763</v>
      </c>
      <c r="X3" s="23"/>
      <c r="Y3" s="23"/>
      <c r="Z3" s="72">
        <v>2</v>
      </c>
    </row>
    <row r="4" spans="1:27" x14ac:dyDescent="0.25">
      <c r="A4" s="2">
        <v>59</v>
      </c>
      <c r="B4" t="s">
        <v>523</v>
      </c>
      <c r="C4" t="s">
        <v>524</v>
      </c>
      <c r="D4" t="s">
        <v>525</v>
      </c>
      <c r="E4" t="s">
        <v>526</v>
      </c>
      <c r="G4" t="s">
        <v>527</v>
      </c>
      <c r="H4" t="s">
        <v>528</v>
      </c>
      <c r="I4" t="s">
        <v>529</v>
      </c>
      <c r="J4" s="3">
        <v>323.02</v>
      </c>
      <c r="K4" t="s">
        <v>530</v>
      </c>
      <c r="L4" s="2">
        <v>20</v>
      </c>
      <c r="M4" s="2">
        <v>4</v>
      </c>
      <c r="N4" t="s">
        <v>32</v>
      </c>
      <c r="O4" t="s">
        <v>155</v>
      </c>
      <c r="P4" t="s">
        <v>34</v>
      </c>
      <c r="Q4" t="s">
        <v>156</v>
      </c>
      <c r="S4" t="s">
        <v>531</v>
      </c>
      <c r="T4" s="3">
        <v>600</v>
      </c>
      <c r="U4" t="s">
        <v>36</v>
      </c>
      <c r="V4" t="s">
        <v>532</v>
      </c>
      <c r="W4" s="2">
        <v>1736778514</v>
      </c>
      <c r="Z4" s="72">
        <v>1</v>
      </c>
    </row>
    <row r="5" spans="1:27" x14ac:dyDescent="0.25">
      <c r="A5" s="2">
        <v>60</v>
      </c>
      <c r="B5" t="s">
        <v>223</v>
      </c>
      <c r="C5" t="s">
        <v>533</v>
      </c>
      <c r="D5" t="s">
        <v>534</v>
      </c>
      <c r="E5" t="s">
        <v>535</v>
      </c>
      <c r="F5" t="s">
        <v>536</v>
      </c>
      <c r="G5" t="s">
        <v>527</v>
      </c>
      <c r="H5" t="s">
        <v>528</v>
      </c>
      <c r="I5" t="s">
        <v>537</v>
      </c>
      <c r="J5" s="3">
        <v>713.05</v>
      </c>
      <c r="K5" t="s">
        <v>538</v>
      </c>
      <c r="L5" s="2">
        <v>20</v>
      </c>
      <c r="M5" s="2">
        <v>4</v>
      </c>
      <c r="N5" t="s">
        <v>32</v>
      </c>
      <c r="O5" t="s">
        <v>121</v>
      </c>
      <c r="P5" t="s">
        <v>34</v>
      </c>
      <c r="Q5" t="s">
        <v>156</v>
      </c>
      <c r="S5" t="s">
        <v>539</v>
      </c>
      <c r="T5" s="3">
        <v>600</v>
      </c>
      <c r="U5" t="s">
        <v>36</v>
      </c>
      <c r="V5" t="s">
        <v>540</v>
      </c>
      <c r="W5" s="2">
        <v>1736924926</v>
      </c>
      <c r="Z5" s="72">
        <v>3</v>
      </c>
    </row>
    <row r="6" spans="1:27" x14ac:dyDescent="0.25">
      <c r="A6" s="2">
        <v>61</v>
      </c>
      <c r="B6" t="s">
        <v>541</v>
      </c>
      <c r="C6" t="s">
        <v>542</v>
      </c>
      <c r="D6" t="s">
        <v>543</v>
      </c>
      <c r="E6" t="s">
        <v>544</v>
      </c>
      <c r="F6" t="s">
        <v>545</v>
      </c>
      <c r="G6" t="s">
        <v>527</v>
      </c>
      <c r="H6" t="s">
        <v>528</v>
      </c>
      <c r="I6" t="s">
        <v>546</v>
      </c>
      <c r="J6" s="3">
        <v>114.32</v>
      </c>
      <c r="K6" t="s">
        <v>167</v>
      </c>
      <c r="L6" s="2">
        <v>20</v>
      </c>
      <c r="M6" s="2">
        <v>3</v>
      </c>
      <c r="N6" t="s">
        <v>32</v>
      </c>
      <c r="O6" t="s">
        <v>155</v>
      </c>
      <c r="P6" t="s">
        <v>34</v>
      </c>
      <c r="Q6" t="s">
        <v>156</v>
      </c>
      <c r="S6" t="s">
        <v>547</v>
      </c>
      <c r="T6" s="3">
        <v>575</v>
      </c>
      <c r="U6" t="s">
        <v>36</v>
      </c>
      <c r="V6" t="s">
        <v>548</v>
      </c>
      <c r="W6" s="2">
        <v>1737211182</v>
      </c>
      <c r="Z6" s="72">
        <v>3</v>
      </c>
    </row>
    <row r="7" spans="1:27" s="17" customFormat="1" x14ac:dyDescent="0.25">
      <c r="A7" s="2">
        <v>62</v>
      </c>
      <c r="B7" t="s">
        <v>549</v>
      </c>
      <c r="C7" t="s">
        <v>550</v>
      </c>
      <c r="D7" t="s">
        <v>551</v>
      </c>
      <c r="E7" t="s">
        <v>552</v>
      </c>
      <c r="F7"/>
      <c r="G7" t="s">
        <v>527</v>
      </c>
      <c r="H7" t="s">
        <v>528</v>
      </c>
      <c r="I7" t="s">
        <v>553</v>
      </c>
      <c r="J7" t="s">
        <v>554</v>
      </c>
      <c r="K7" t="s">
        <v>555</v>
      </c>
      <c r="L7" s="2">
        <v>20</v>
      </c>
      <c r="M7" s="2">
        <v>4</v>
      </c>
      <c r="N7" t="s">
        <v>32</v>
      </c>
      <c r="O7" t="s">
        <v>155</v>
      </c>
      <c r="P7" t="s">
        <v>34</v>
      </c>
      <c r="Q7" t="s">
        <v>156</v>
      </c>
      <c r="R7"/>
      <c r="S7" t="s">
        <v>556</v>
      </c>
      <c r="T7" s="3">
        <v>600</v>
      </c>
      <c r="U7" t="s">
        <v>36</v>
      </c>
      <c r="V7" t="s">
        <v>557</v>
      </c>
      <c r="W7" s="2">
        <v>1737310567</v>
      </c>
      <c r="X7"/>
      <c r="Y7"/>
      <c r="Z7" s="72">
        <v>2</v>
      </c>
      <c r="AA7"/>
    </row>
    <row r="8" spans="1:27" x14ac:dyDescent="0.25">
      <c r="A8" s="2">
        <v>63</v>
      </c>
      <c r="B8" t="s">
        <v>558</v>
      </c>
      <c r="C8" t="s">
        <v>559</v>
      </c>
      <c r="D8" t="s">
        <v>560</v>
      </c>
      <c r="E8" t="s">
        <v>561</v>
      </c>
      <c r="G8" t="s">
        <v>527</v>
      </c>
      <c r="H8" t="s">
        <v>528</v>
      </c>
      <c r="I8" t="s">
        <v>562</v>
      </c>
      <c r="J8" s="3">
        <v>611.04999999999995</v>
      </c>
      <c r="K8" t="s">
        <v>563</v>
      </c>
      <c r="L8" s="2">
        <v>8</v>
      </c>
      <c r="M8" s="2">
        <v>2</v>
      </c>
      <c r="N8" t="s">
        <v>32</v>
      </c>
      <c r="O8" t="s">
        <v>33</v>
      </c>
      <c r="P8" t="s">
        <v>34</v>
      </c>
      <c r="Q8" t="s">
        <v>121</v>
      </c>
      <c r="S8" t="s">
        <v>564</v>
      </c>
      <c r="T8" s="3">
        <v>250</v>
      </c>
      <c r="U8" t="s">
        <v>36</v>
      </c>
      <c r="V8" t="s">
        <v>565</v>
      </c>
      <c r="W8" s="2">
        <v>1737393978</v>
      </c>
      <c r="Z8" s="72">
        <v>2</v>
      </c>
    </row>
    <row r="9" spans="1:27" x14ac:dyDescent="0.25">
      <c r="A9" s="22">
        <v>64</v>
      </c>
      <c r="B9" s="23" t="s">
        <v>566</v>
      </c>
      <c r="C9" s="23" t="s">
        <v>567</v>
      </c>
      <c r="D9" s="23" t="s">
        <v>568</v>
      </c>
      <c r="E9" s="23" t="s">
        <v>569</v>
      </c>
      <c r="F9" s="23" t="s">
        <v>570</v>
      </c>
      <c r="G9" s="23" t="s">
        <v>527</v>
      </c>
      <c r="H9" s="23" t="s">
        <v>528</v>
      </c>
      <c r="I9" s="23" t="s">
        <v>571</v>
      </c>
      <c r="J9" s="25">
        <v>621.11</v>
      </c>
      <c r="K9" s="23" t="s">
        <v>572</v>
      </c>
      <c r="L9" s="22">
        <v>15</v>
      </c>
      <c r="M9" s="22">
        <v>3</v>
      </c>
      <c r="N9" s="23" t="s">
        <v>32</v>
      </c>
      <c r="O9" s="23" t="s">
        <v>121</v>
      </c>
      <c r="P9" s="23" t="s">
        <v>34</v>
      </c>
      <c r="Q9" s="23" t="s">
        <v>33</v>
      </c>
      <c r="R9" s="24" t="s">
        <v>573</v>
      </c>
      <c r="S9" s="23" t="s">
        <v>574</v>
      </c>
      <c r="T9" s="25">
        <v>450</v>
      </c>
      <c r="U9" s="23" t="s">
        <v>36</v>
      </c>
      <c r="V9" s="23" t="s">
        <v>575</v>
      </c>
      <c r="W9" s="22">
        <v>1737480918</v>
      </c>
      <c r="X9" s="23"/>
      <c r="Y9" s="23"/>
      <c r="Z9" s="72">
        <v>2</v>
      </c>
    </row>
    <row r="10" spans="1:27" x14ac:dyDescent="0.25">
      <c r="A10" s="22">
        <v>65</v>
      </c>
      <c r="B10" s="23" t="s">
        <v>240</v>
      </c>
      <c r="C10" s="23" t="s">
        <v>576</v>
      </c>
      <c r="D10" s="23" t="s">
        <v>577</v>
      </c>
      <c r="E10" s="23" t="s">
        <v>578</v>
      </c>
      <c r="F10" s="23"/>
      <c r="G10" s="23" t="s">
        <v>527</v>
      </c>
      <c r="H10" s="23" t="s">
        <v>528</v>
      </c>
      <c r="I10" s="23" t="s">
        <v>579</v>
      </c>
      <c r="J10" s="23" t="s">
        <v>580</v>
      </c>
      <c r="K10" s="23" t="s">
        <v>581</v>
      </c>
      <c r="L10" s="22">
        <v>6</v>
      </c>
      <c r="M10" s="22">
        <v>2</v>
      </c>
      <c r="N10" s="23" t="s">
        <v>32</v>
      </c>
      <c r="O10" s="23" t="s">
        <v>33</v>
      </c>
      <c r="P10" s="23" t="s">
        <v>34</v>
      </c>
      <c r="Q10" s="23" t="s">
        <v>156</v>
      </c>
      <c r="R10" s="24" t="s">
        <v>582</v>
      </c>
      <c r="S10" s="23" t="s">
        <v>583</v>
      </c>
      <c r="T10" s="25">
        <v>200</v>
      </c>
      <c r="U10" s="23" t="s">
        <v>36</v>
      </c>
      <c r="V10" s="23" t="s">
        <v>584</v>
      </c>
      <c r="W10" s="22">
        <v>1737562501</v>
      </c>
      <c r="X10" s="23"/>
      <c r="Y10" s="23"/>
      <c r="Z10" s="72">
        <v>1</v>
      </c>
    </row>
    <row r="11" spans="1:27" x14ac:dyDescent="0.25">
      <c r="A11" s="2">
        <v>66</v>
      </c>
      <c r="B11" t="s">
        <v>585</v>
      </c>
      <c r="C11" t="s">
        <v>586</v>
      </c>
      <c r="D11" t="s">
        <v>587</v>
      </c>
      <c r="E11" t="s">
        <v>588</v>
      </c>
      <c r="F11" t="s">
        <v>589</v>
      </c>
      <c r="G11" t="s">
        <v>527</v>
      </c>
      <c r="H11" t="s">
        <v>528</v>
      </c>
      <c r="I11" t="s">
        <v>590</v>
      </c>
      <c r="J11" s="3">
        <v>522.03</v>
      </c>
      <c r="K11" t="s">
        <v>591</v>
      </c>
      <c r="L11" s="2">
        <v>20</v>
      </c>
      <c r="M11" s="2">
        <v>4</v>
      </c>
      <c r="N11" t="s">
        <v>32</v>
      </c>
      <c r="O11" t="s">
        <v>155</v>
      </c>
      <c r="P11" t="s">
        <v>34</v>
      </c>
      <c r="Q11" t="s">
        <v>156</v>
      </c>
      <c r="S11" t="s">
        <v>592</v>
      </c>
      <c r="T11" s="3">
        <v>600</v>
      </c>
      <c r="U11" t="s">
        <v>36</v>
      </c>
      <c r="V11" t="s">
        <v>593</v>
      </c>
      <c r="W11" s="2">
        <v>1737579378</v>
      </c>
      <c r="Z11" s="72">
        <v>1</v>
      </c>
    </row>
    <row r="12" spans="1:27" x14ac:dyDescent="0.25">
      <c r="A12" s="22">
        <v>67</v>
      </c>
      <c r="B12" s="23" t="s">
        <v>594</v>
      </c>
      <c r="C12" s="23" t="s">
        <v>595</v>
      </c>
      <c r="D12" s="71" t="s">
        <v>1192</v>
      </c>
      <c r="E12" s="23" t="s">
        <v>596</v>
      </c>
      <c r="F12" s="23"/>
      <c r="G12" s="23" t="s">
        <v>527</v>
      </c>
      <c r="H12" s="23" t="s">
        <v>528</v>
      </c>
      <c r="I12" s="23" t="s">
        <v>597</v>
      </c>
      <c r="J12" s="25">
        <v>213.01</v>
      </c>
      <c r="K12" s="23" t="s">
        <v>598</v>
      </c>
      <c r="L12" s="22">
        <v>18</v>
      </c>
      <c r="M12" s="22">
        <v>3</v>
      </c>
      <c r="N12" s="23" t="s">
        <v>32</v>
      </c>
      <c r="O12" s="23" t="s">
        <v>121</v>
      </c>
      <c r="P12" s="23" t="s">
        <v>34</v>
      </c>
      <c r="Q12" s="23" t="s">
        <v>156</v>
      </c>
      <c r="R12" s="24" t="s">
        <v>599</v>
      </c>
      <c r="S12" s="23" t="s">
        <v>600</v>
      </c>
      <c r="T12" s="25">
        <v>525</v>
      </c>
      <c r="U12" s="23" t="s">
        <v>36</v>
      </c>
      <c r="V12" s="23" t="s">
        <v>601</v>
      </c>
      <c r="W12" s="22">
        <v>1737716330</v>
      </c>
      <c r="X12" s="23"/>
      <c r="Y12" s="23"/>
      <c r="Z12" s="72">
        <v>4</v>
      </c>
    </row>
    <row r="13" spans="1:27" x14ac:dyDescent="0.25">
      <c r="A13" s="2">
        <v>70</v>
      </c>
      <c r="B13" t="s">
        <v>622</v>
      </c>
      <c r="C13" t="s">
        <v>623</v>
      </c>
      <c r="D13" t="s">
        <v>624</v>
      </c>
      <c r="E13" t="s">
        <v>625</v>
      </c>
      <c r="F13" t="s">
        <v>626</v>
      </c>
      <c r="G13" t="s">
        <v>527</v>
      </c>
      <c r="H13" t="s">
        <v>528</v>
      </c>
      <c r="I13" t="s">
        <v>627</v>
      </c>
      <c r="J13" s="2">
        <v>42501</v>
      </c>
      <c r="K13" t="s">
        <v>628</v>
      </c>
      <c r="L13" s="2">
        <v>20</v>
      </c>
      <c r="M13" s="2">
        <v>4</v>
      </c>
      <c r="N13" t="s">
        <v>32</v>
      </c>
      <c r="O13" t="s">
        <v>121</v>
      </c>
      <c r="P13" t="s">
        <v>34</v>
      </c>
      <c r="Q13" t="s">
        <v>156</v>
      </c>
      <c r="S13" t="s">
        <v>629</v>
      </c>
      <c r="T13" s="3">
        <v>600</v>
      </c>
      <c r="U13" t="s">
        <v>36</v>
      </c>
      <c r="V13" t="s">
        <v>630</v>
      </c>
      <c r="W13" s="2">
        <v>1737916569</v>
      </c>
      <c r="Z13" s="72">
        <v>3</v>
      </c>
    </row>
    <row r="14" spans="1:27" x14ac:dyDescent="0.25">
      <c r="A14" s="2">
        <v>71</v>
      </c>
      <c r="B14" t="s">
        <v>631</v>
      </c>
      <c r="C14" t="s">
        <v>632</v>
      </c>
      <c r="D14" t="s">
        <v>633</v>
      </c>
      <c r="E14" t="s">
        <v>634</v>
      </c>
      <c r="F14" t="s">
        <v>635</v>
      </c>
      <c r="G14" t="s">
        <v>527</v>
      </c>
      <c r="H14" t="s">
        <v>528</v>
      </c>
      <c r="I14" t="s">
        <v>636</v>
      </c>
      <c r="J14" s="3">
        <v>724.12</v>
      </c>
      <c r="K14" t="s">
        <v>636</v>
      </c>
      <c r="L14" s="2">
        <v>13</v>
      </c>
      <c r="M14" s="2">
        <v>2</v>
      </c>
      <c r="N14" t="s">
        <v>32</v>
      </c>
      <c r="O14" t="s">
        <v>156</v>
      </c>
      <c r="P14" t="s">
        <v>34</v>
      </c>
      <c r="Q14" t="s">
        <v>156</v>
      </c>
      <c r="S14" t="s">
        <v>637</v>
      </c>
      <c r="T14" s="3">
        <v>375</v>
      </c>
      <c r="U14" t="s">
        <v>36</v>
      </c>
      <c r="V14" t="s">
        <v>638</v>
      </c>
      <c r="W14" s="2">
        <v>1738082029</v>
      </c>
      <c r="Z14" s="72">
        <v>3</v>
      </c>
    </row>
    <row r="15" spans="1:27" x14ac:dyDescent="0.25">
      <c r="A15" s="22">
        <v>72</v>
      </c>
      <c r="B15" s="23" t="s">
        <v>639</v>
      </c>
      <c r="C15" s="23" t="s">
        <v>640</v>
      </c>
      <c r="D15" s="23" t="s">
        <v>641</v>
      </c>
      <c r="E15" s="23" t="s">
        <v>642</v>
      </c>
      <c r="F15" s="23"/>
      <c r="G15" s="23" t="s">
        <v>527</v>
      </c>
      <c r="H15" s="23" t="s">
        <v>528</v>
      </c>
      <c r="I15" s="23" t="s">
        <v>643</v>
      </c>
      <c r="J15" s="25">
        <v>114.07</v>
      </c>
      <c r="K15" s="23" t="s">
        <v>167</v>
      </c>
      <c r="L15" s="22">
        <v>4</v>
      </c>
      <c r="M15" s="22">
        <v>1</v>
      </c>
      <c r="N15" s="23" t="s">
        <v>32</v>
      </c>
      <c r="O15" s="23" t="s">
        <v>121</v>
      </c>
      <c r="P15" s="23" t="s">
        <v>34</v>
      </c>
      <c r="Q15" s="23" t="s">
        <v>156</v>
      </c>
      <c r="R15" s="23" t="s">
        <v>644</v>
      </c>
      <c r="S15" s="23" t="s">
        <v>645</v>
      </c>
      <c r="T15" s="25">
        <v>125</v>
      </c>
      <c r="U15" s="23" t="s">
        <v>36</v>
      </c>
      <c r="V15" s="23" t="s">
        <v>646</v>
      </c>
      <c r="W15" s="22">
        <v>1738091688</v>
      </c>
      <c r="X15" s="23"/>
      <c r="Y15" s="23"/>
      <c r="Z15" s="72">
        <v>4</v>
      </c>
    </row>
    <row r="16" spans="1:27" x14ac:dyDescent="0.25">
      <c r="A16" s="2">
        <v>73</v>
      </c>
      <c r="B16" t="s">
        <v>647</v>
      </c>
      <c r="C16" t="s">
        <v>648</v>
      </c>
      <c r="D16" t="s">
        <v>649</v>
      </c>
      <c r="E16" t="s">
        <v>650</v>
      </c>
      <c r="G16" t="s">
        <v>527</v>
      </c>
      <c r="H16" t="s">
        <v>528</v>
      </c>
      <c r="I16" t="s">
        <v>651</v>
      </c>
      <c r="J16" s="3">
        <v>532.08000000000004</v>
      </c>
      <c r="K16" t="s">
        <v>652</v>
      </c>
      <c r="L16" s="2">
        <v>14</v>
      </c>
      <c r="M16" s="2">
        <v>4</v>
      </c>
      <c r="N16" t="s">
        <v>32</v>
      </c>
      <c r="O16" t="s">
        <v>33</v>
      </c>
      <c r="P16" t="s">
        <v>34</v>
      </c>
      <c r="Q16" t="s">
        <v>156</v>
      </c>
      <c r="S16" t="s">
        <v>653</v>
      </c>
      <c r="T16" s="3">
        <v>450</v>
      </c>
      <c r="U16" t="s">
        <v>36</v>
      </c>
      <c r="V16" t="s">
        <v>654</v>
      </c>
      <c r="W16" s="2">
        <v>1738092624</v>
      </c>
      <c r="Z16" s="72">
        <v>3</v>
      </c>
    </row>
    <row r="17" spans="1:27" ht="18.75" x14ac:dyDescent="0.3">
      <c r="A17" s="69">
        <v>75</v>
      </c>
      <c r="B17" t="s">
        <v>662</v>
      </c>
      <c r="C17" t="s">
        <v>663</v>
      </c>
      <c r="D17" t="s">
        <v>664</v>
      </c>
      <c r="E17" t="s">
        <v>665</v>
      </c>
      <c r="G17" t="s">
        <v>527</v>
      </c>
      <c r="H17" t="s">
        <v>528</v>
      </c>
      <c r="I17" t="s">
        <v>666</v>
      </c>
      <c r="J17" s="3">
        <v>627.02</v>
      </c>
      <c r="K17" t="s">
        <v>667</v>
      </c>
      <c r="L17" s="2">
        <v>8</v>
      </c>
      <c r="M17" s="2">
        <v>2</v>
      </c>
      <c r="N17" t="s">
        <v>32</v>
      </c>
      <c r="O17" t="s">
        <v>156</v>
      </c>
      <c r="P17" t="s">
        <v>34</v>
      </c>
      <c r="Q17" t="s">
        <v>33</v>
      </c>
      <c r="S17" t="s">
        <v>668</v>
      </c>
      <c r="T17" s="3">
        <v>250</v>
      </c>
      <c r="U17" t="s">
        <v>36</v>
      </c>
      <c r="V17" t="s">
        <v>669</v>
      </c>
      <c r="W17" s="2">
        <v>1738319816</v>
      </c>
      <c r="Z17" s="73">
        <v>3</v>
      </c>
    </row>
    <row r="18" spans="1:27" s="20" customFormat="1" x14ac:dyDescent="0.25">
      <c r="A18" s="22">
        <v>76</v>
      </c>
      <c r="B18" s="23" t="s">
        <v>670</v>
      </c>
      <c r="C18" s="23" t="s">
        <v>671</v>
      </c>
      <c r="D18" s="23" t="s">
        <v>672</v>
      </c>
      <c r="E18" s="23" t="s">
        <v>673</v>
      </c>
      <c r="F18" s="23"/>
      <c r="G18" s="23" t="s">
        <v>527</v>
      </c>
      <c r="H18" s="23" t="s">
        <v>528</v>
      </c>
      <c r="I18" s="23" t="s">
        <v>674</v>
      </c>
      <c r="J18" s="25">
        <v>713.02</v>
      </c>
      <c r="K18" s="23" t="s">
        <v>675</v>
      </c>
      <c r="L18" s="22">
        <v>9</v>
      </c>
      <c r="M18" s="22">
        <v>2</v>
      </c>
      <c r="N18" s="23" t="s">
        <v>32</v>
      </c>
      <c r="O18" s="23" t="s">
        <v>121</v>
      </c>
      <c r="P18" s="23" t="s">
        <v>34</v>
      </c>
      <c r="Q18" s="23" t="s">
        <v>33</v>
      </c>
      <c r="R18" s="23" t="s">
        <v>676</v>
      </c>
      <c r="S18" s="23" t="s">
        <v>677</v>
      </c>
      <c r="T18" s="25">
        <v>275</v>
      </c>
      <c r="U18" s="23" t="s">
        <v>36</v>
      </c>
      <c r="V18" s="23" t="s">
        <v>678</v>
      </c>
      <c r="W18" s="22">
        <v>1738354670</v>
      </c>
      <c r="X18" s="23"/>
      <c r="Y18" s="23"/>
      <c r="Z18" s="72">
        <v>4</v>
      </c>
      <c r="AA18"/>
    </row>
    <row r="19" spans="1:27" x14ac:dyDescent="0.25">
      <c r="A19" s="22">
        <v>77</v>
      </c>
      <c r="B19" s="23" t="s">
        <v>631</v>
      </c>
      <c r="C19" s="23" t="s">
        <v>679</v>
      </c>
      <c r="D19" s="23" t="s">
        <v>680</v>
      </c>
      <c r="E19" s="23" t="s">
        <v>681</v>
      </c>
      <c r="F19" s="23" t="s">
        <v>682</v>
      </c>
      <c r="G19" s="23" t="s">
        <v>527</v>
      </c>
      <c r="H19" s="23" t="s">
        <v>528</v>
      </c>
      <c r="I19" s="23" t="s">
        <v>683</v>
      </c>
      <c r="J19" s="25">
        <v>526.07000000000005</v>
      </c>
      <c r="K19" s="23" t="s">
        <v>581</v>
      </c>
      <c r="L19" s="22">
        <v>12</v>
      </c>
      <c r="M19" s="22">
        <v>3</v>
      </c>
      <c r="N19" s="23" t="s">
        <v>32</v>
      </c>
      <c r="O19" s="23" t="s">
        <v>156</v>
      </c>
      <c r="P19" s="23" t="s">
        <v>34</v>
      </c>
      <c r="Q19" s="23" t="s">
        <v>156</v>
      </c>
      <c r="R19" s="24" t="s">
        <v>684</v>
      </c>
      <c r="S19" s="23" t="s">
        <v>685</v>
      </c>
      <c r="T19" s="25">
        <v>375</v>
      </c>
      <c r="U19" s="23" t="s">
        <v>36</v>
      </c>
      <c r="V19" s="23" t="s">
        <v>686</v>
      </c>
      <c r="W19" s="22">
        <v>1738356909</v>
      </c>
      <c r="X19" s="23"/>
      <c r="Y19" s="23"/>
      <c r="Z19" s="72">
        <v>2</v>
      </c>
    </row>
    <row r="20" spans="1:27" x14ac:dyDescent="0.25">
      <c r="A20" s="2">
        <v>78</v>
      </c>
      <c r="B20" t="s">
        <v>687</v>
      </c>
      <c r="C20" t="s">
        <v>688</v>
      </c>
      <c r="D20" t="s">
        <v>689</v>
      </c>
      <c r="E20" t="s">
        <v>690</v>
      </c>
      <c r="G20" t="s">
        <v>527</v>
      </c>
      <c r="H20" t="s">
        <v>528</v>
      </c>
      <c r="I20" t="s">
        <v>691</v>
      </c>
      <c r="J20" s="3">
        <v>118.52</v>
      </c>
      <c r="K20" t="s">
        <v>692</v>
      </c>
      <c r="L20" s="2">
        <v>14</v>
      </c>
      <c r="M20" s="2">
        <v>2</v>
      </c>
      <c r="N20" t="s">
        <v>32</v>
      </c>
      <c r="O20" t="s">
        <v>121</v>
      </c>
      <c r="P20" t="s">
        <v>34</v>
      </c>
      <c r="Q20" t="s">
        <v>33</v>
      </c>
      <c r="S20" t="s">
        <v>693</v>
      </c>
      <c r="T20" s="3">
        <v>400</v>
      </c>
      <c r="U20" t="s">
        <v>36</v>
      </c>
      <c r="V20" t="s">
        <v>694</v>
      </c>
      <c r="W20" s="2">
        <v>1738363675</v>
      </c>
      <c r="Z20" s="72">
        <v>2</v>
      </c>
    </row>
    <row r="21" spans="1:27" s="17" customFormat="1" x14ac:dyDescent="0.25">
      <c r="A21" s="2">
        <v>80</v>
      </c>
      <c r="B21" t="s">
        <v>703</v>
      </c>
      <c r="C21" t="s">
        <v>704</v>
      </c>
      <c r="D21" t="s">
        <v>705</v>
      </c>
      <c r="E21" t="s">
        <v>706</v>
      </c>
      <c r="F21"/>
      <c r="G21" t="s">
        <v>527</v>
      </c>
      <c r="H21" t="s">
        <v>528</v>
      </c>
      <c r="I21" t="s">
        <v>707</v>
      </c>
      <c r="J21" s="3">
        <v>524.03</v>
      </c>
      <c r="K21" t="s">
        <v>708</v>
      </c>
      <c r="L21" s="2">
        <v>20</v>
      </c>
      <c r="M21" s="2">
        <v>4</v>
      </c>
      <c r="N21" t="s">
        <v>32</v>
      </c>
      <c r="O21" t="s">
        <v>156</v>
      </c>
      <c r="P21" t="s">
        <v>34</v>
      </c>
      <c r="Q21" t="s">
        <v>156</v>
      </c>
      <c r="R21"/>
      <c r="S21" t="s">
        <v>709</v>
      </c>
      <c r="T21" s="3">
        <v>600</v>
      </c>
      <c r="U21" t="s">
        <v>36</v>
      </c>
      <c r="V21" t="s">
        <v>710</v>
      </c>
      <c r="W21" s="2">
        <v>1738446796</v>
      </c>
      <c r="X21"/>
      <c r="Y21"/>
      <c r="Z21" s="72">
        <v>2</v>
      </c>
      <c r="AA21"/>
    </row>
    <row r="22" spans="1:27" s="20" customFormat="1" x14ac:dyDescent="0.25">
      <c r="A22" s="2">
        <v>82</v>
      </c>
      <c r="B22" t="s">
        <v>711</v>
      </c>
      <c r="C22" t="s">
        <v>712</v>
      </c>
      <c r="D22" t="s">
        <v>713</v>
      </c>
      <c r="E22" t="s">
        <v>714</v>
      </c>
      <c r="F22"/>
      <c r="G22" t="s">
        <v>527</v>
      </c>
      <c r="H22" t="s">
        <v>528</v>
      </c>
      <c r="I22" t="s">
        <v>715</v>
      </c>
      <c r="J22" s="3">
        <v>533.02</v>
      </c>
      <c r="K22" t="s">
        <v>716</v>
      </c>
      <c r="L22" s="2">
        <v>8</v>
      </c>
      <c r="M22" s="2">
        <v>1</v>
      </c>
      <c r="N22" t="s">
        <v>32</v>
      </c>
      <c r="O22" t="s">
        <v>33</v>
      </c>
      <c r="P22" t="s">
        <v>34</v>
      </c>
      <c r="Q22" t="s">
        <v>33</v>
      </c>
      <c r="R22"/>
      <c r="S22" t="s">
        <v>717</v>
      </c>
      <c r="T22" s="3">
        <v>225</v>
      </c>
      <c r="U22" t="s">
        <v>36</v>
      </c>
      <c r="V22" t="s">
        <v>718</v>
      </c>
      <c r="W22" s="2">
        <v>1738595613</v>
      </c>
      <c r="X22"/>
      <c r="Y22"/>
      <c r="Z22" s="72">
        <v>4</v>
      </c>
      <c r="AA22"/>
    </row>
    <row r="23" spans="1:27" ht="18.75" x14ac:dyDescent="0.3">
      <c r="A23" s="69">
        <v>83</v>
      </c>
      <c r="B23" t="s">
        <v>719</v>
      </c>
      <c r="C23" t="s">
        <v>720</v>
      </c>
      <c r="D23" t="s">
        <v>721</v>
      </c>
      <c r="E23" t="s">
        <v>722</v>
      </c>
      <c r="G23" t="s">
        <v>527</v>
      </c>
      <c r="H23" t="s">
        <v>528</v>
      </c>
      <c r="I23" t="s">
        <v>723</v>
      </c>
      <c r="J23" t="s">
        <v>724</v>
      </c>
      <c r="K23" t="s">
        <v>725</v>
      </c>
      <c r="L23" s="2">
        <v>8</v>
      </c>
      <c r="M23" s="2">
        <v>1</v>
      </c>
      <c r="N23" t="s">
        <v>32</v>
      </c>
      <c r="O23" t="s">
        <v>121</v>
      </c>
      <c r="P23" t="s">
        <v>34</v>
      </c>
      <c r="Q23" t="s">
        <v>156</v>
      </c>
      <c r="S23" t="s">
        <v>726</v>
      </c>
      <c r="T23" s="3">
        <v>225</v>
      </c>
      <c r="U23" t="s">
        <v>36</v>
      </c>
      <c r="V23" t="s">
        <v>727</v>
      </c>
      <c r="W23" s="2">
        <v>1738613885</v>
      </c>
      <c r="Z23" s="73">
        <v>3</v>
      </c>
    </row>
    <row r="24" spans="1:27" s="23" customFormat="1" x14ac:dyDescent="0.25">
      <c r="A24" s="2">
        <v>85</v>
      </c>
      <c r="B24" t="s">
        <v>703</v>
      </c>
      <c r="C24" t="s">
        <v>738</v>
      </c>
      <c r="D24" t="s">
        <v>739</v>
      </c>
      <c r="E24" t="s">
        <v>740</v>
      </c>
      <c r="F24"/>
      <c r="G24" t="s">
        <v>527</v>
      </c>
      <c r="H24" t="s">
        <v>528</v>
      </c>
      <c r="I24" t="s">
        <v>741</v>
      </c>
      <c r="J24" s="3">
        <v>724.06</v>
      </c>
      <c r="K24" t="s">
        <v>742</v>
      </c>
      <c r="L24" s="2">
        <v>20</v>
      </c>
      <c r="M24" s="2">
        <v>4</v>
      </c>
      <c r="N24" t="s">
        <v>32</v>
      </c>
      <c r="O24" t="s">
        <v>121</v>
      </c>
      <c r="P24" t="s">
        <v>34</v>
      </c>
      <c r="Q24" t="s">
        <v>156</v>
      </c>
      <c r="R24"/>
      <c r="S24" t="s">
        <v>743</v>
      </c>
      <c r="T24" s="3">
        <v>600</v>
      </c>
      <c r="U24" t="s">
        <v>36</v>
      </c>
      <c r="V24" t="s">
        <v>744</v>
      </c>
      <c r="W24" s="2">
        <v>1738707976</v>
      </c>
      <c r="X24"/>
      <c r="Y24"/>
      <c r="Z24" s="72">
        <v>4</v>
      </c>
      <c r="AA24"/>
    </row>
    <row r="25" spans="1:27" x14ac:dyDescent="0.25">
      <c r="A25" s="22">
        <v>100</v>
      </c>
      <c r="B25" s="23" t="s">
        <v>856</v>
      </c>
      <c r="C25" s="23" t="s">
        <v>857</v>
      </c>
      <c r="D25" s="23" t="s">
        <v>858</v>
      </c>
      <c r="E25" s="23" t="s">
        <v>859</v>
      </c>
      <c r="F25" s="23" t="s">
        <v>860</v>
      </c>
      <c r="G25" s="23" t="s">
        <v>527</v>
      </c>
      <c r="H25" s="23" t="s">
        <v>528</v>
      </c>
      <c r="I25" s="23" t="s">
        <v>861</v>
      </c>
      <c r="J25" s="23" t="s">
        <v>862</v>
      </c>
      <c r="K25" s="23" t="s">
        <v>863</v>
      </c>
      <c r="L25" s="22">
        <v>6</v>
      </c>
      <c r="M25" s="22">
        <v>2</v>
      </c>
      <c r="N25" s="23" t="s">
        <v>32</v>
      </c>
      <c r="O25" s="23" t="s">
        <v>156</v>
      </c>
      <c r="P25" s="23" t="s">
        <v>34</v>
      </c>
      <c r="Q25" s="23" t="s">
        <v>156</v>
      </c>
      <c r="R25" s="24" t="s">
        <v>864</v>
      </c>
      <c r="S25" s="23" t="s">
        <v>865</v>
      </c>
      <c r="T25" s="25">
        <v>200</v>
      </c>
      <c r="U25" s="23" t="s">
        <v>36</v>
      </c>
      <c r="V25" s="23" t="s">
        <v>866</v>
      </c>
      <c r="W25" s="22">
        <v>1738939346</v>
      </c>
      <c r="X25" s="23"/>
      <c r="Y25" s="23"/>
      <c r="Z25" s="72">
        <v>1</v>
      </c>
    </row>
    <row r="26" spans="1:27" x14ac:dyDescent="0.25">
      <c r="A26" s="2">
        <v>101</v>
      </c>
      <c r="B26" t="s">
        <v>223</v>
      </c>
      <c r="C26" t="s">
        <v>867</v>
      </c>
      <c r="D26" t="s">
        <v>868</v>
      </c>
      <c r="E26" t="s">
        <v>869</v>
      </c>
      <c r="G26" t="s">
        <v>527</v>
      </c>
      <c r="H26" t="s">
        <v>528</v>
      </c>
      <c r="I26" t="s">
        <v>870</v>
      </c>
      <c r="J26" s="3">
        <v>623.14</v>
      </c>
      <c r="K26" t="s">
        <v>871</v>
      </c>
      <c r="L26" s="2">
        <v>5</v>
      </c>
      <c r="M26" s="2">
        <v>1</v>
      </c>
      <c r="N26" t="s">
        <v>32</v>
      </c>
      <c r="O26" t="s">
        <v>121</v>
      </c>
      <c r="P26" t="s">
        <v>34</v>
      </c>
      <c r="Q26" t="s">
        <v>33</v>
      </c>
      <c r="S26" t="s">
        <v>872</v>
      </c>
      <c r="T26" s="3">
        <v>150</v>
      </c>
      <c r="U26" t="s">
        <v>36</v>
      </c>
      <c r="V26" t="s">
        <v>873</v>
      </c>
      <c r="W26" s="2">
        <v>1739125752</v>
      </c>
      <c r="Z26" s="72">
        <v>4</v>
      </c>
    </row>
    <row r="27" spans="1:27" s="23" customFormat="1" x14ac:dyDescent="0.25">
      <c r="A27" s="2">
        <v>103</v>
      </c>
      <c r="B27" t="s">
        <v>885</v>
      </c>
      <c r="C27" t="s">
        <v>886</v>
      </c>
      <c r="D27" t="s">
        <v>887</v>
      </c>
      <c r="E27" t="s">
        <v>888</v>
      </c>
      <c r="F27"/>
      <c r="G27" t="s">
        <v>527</v>
      </c>
      <c r="H27" t="s">
        <v>528</v>
      </c>
      <c r="I27" t="s">
        <v>889</v>
      </c>
      <c r="J27" s="3">
        <v>523.1</v>
      </c>
      <c r="K27" t="s">
        <v>890</v>
      </c>
      <c r="L27" s="2">
        <v>5</v>
      </c>
      <c r="M27" s="2">
        <v>1</v>
      </c>
      <c r="N27" t="s">
        <v>32</v>
      </c>
      <c r="O27" t="s">
        <v>156</v>
      </c>
      <c r="P27" t="s">
        <v>34</v>
      </c>
      <c r="Q27" t="s">
        <v>33</v>
      </c>
      <c r="R27"/>
      <c r="S27" t="s">
        <v>891</v>
      </c>
      <c r="T27" s="3">
        <v>150</v>
      </c>
      <c r="U27" t="s">
        <v>36</v>
      </c>
      <c r="V27" t="s">
        <v>892</v>
      </c>
      <c r="W27" s="2">
        <v>1739195751</v>
      </c>
      <c r="X27"/>
      <c r="Y27"/>
      <c r="Z27" s="72">
        <v>2</v>
      </c>
      <c r="AA27"/>
    </row>
    <row r="28" spans="1:27" s="23" customFormat="1" x14ac:dyDescent="0.25">
      <c r="A28" s="2">
        <v>104</v>
      </c>
      <c r="B28" t="s">
        <v>541</v>
      </c>
      <c r="C28" t="s">
        <v>893</v>
      </c>
      <c r="D28" t="s">
        <v>894</v>
      </c>
      <c r="E28" t="s">
        <v>895</v>
      </c>
      <c r="F28"/>
      <c r="G28" t="s">
        <v>527</v>
      </c>
      <c r="H28" t="s">
        <v>528</v>
      </c>
      <c r="I28" t="s">
        <v>896</v>
      </c>
      <c r="J28" s="3">
        <v>521.01</v>
      </c>
      <c r="K28" t="s">
        <v>897</v>
      </c>
      <c r="L28" s="2">
        <v>20</v>
      </c>
      <c r="M28" s="2">
        <v>4</v>
      </c>
      <c r="N28" t="s">
        <v>32</v>
      </c>
      <c r="O28" t="s">
        <v>156</v>
      </c>
      <c r="P28" t="s">
        <v>34</v>
      </c>
      <c r="Q28" t="s">
        <v>156</v>
      </c>
      <c r="R28"/>
      <c r="S28" t="s">
        <v>898</v>
      </c>
      <c r="T28" s="3">
        <v>600</v>
      </c>
      <c r="U28" t="s">
        <v>36</v>
      </c>
      <c r="V28" t="s">
        <v>899</v>
      </c>
      <c r="W28" s="2">
        <v>1739205581</v>
      </c>
      <c r="X28"/>
      <c r="Y28"/>
      <c r="Z28" s="72">
        <v>2</v>
      </c>
      <c r="AA28"/>
    </row>
    <row r="29" spans="1:27" x14ac:dyDescent="0.25">
      <c r="A29" s="22">
        <v>105</v>
      </c>
      <c r="B29" s="23" t="s">
        <v>719</v>
      </c>
      <c r="C29" s="23" t="s">
        <v>900</v>
      </c>
      <c r="D29" s="23" t="s">
        <v>901</v>
      </c>
      <c r="E29" s="23" t="s">
        <v>902</v>
      </c>
      <c r="F29" s="23" t="s">
        <v>903</v>
      </c>
      <c r="G29" s="23" t="s">
        <v>527</v>
      </c>
      <c r="H29" s="23" t="s">
        <v>528</v>
      </c>
      <c r="I29" s="23" t="s">
        <v>904</v>
      </c>
      <c r="J29" s="25">
        <v>116.33</v>
      </c>
      <c r="K29" s="23" t="s">
        <v>167</v>
      </c>
      <c r="L29" s="22">
        <v>6</v>
      </c>
      <c r="M29" s="22">
        <v>1</v>
      </c>
      <c r="N29" s="23" t="s">
        <v>32</v>
      </c>
      <c r="O29" s="23" t="s">
        <v>121</v>
      </c>
      <c r="P29" s="23" t="s">
        <v>34</v>
      </c>
      <c r="Q29" s="23" t="s">
        <v>33</v>
      </c>
      <c r="R29" s="24" t="s">
        <v>905</v>
      </c>
      <c r="S29" s="23" t="s">
        <v>906</v>
      </c>
      <c r="T29" s="25">
        <v>175</v>
      </c>
      <c r="U29" s="23" t="s">
        <v>36</v>
      </c>
      <c r="V29" s="23" t="s">
        <v>907</v>
      </c>
      <c r="W29" s="22">
        <v>1739211201</v>
      </c>
      <c r="X29" s="23"/>
      <c r="Y29" s="23"/>
      <c r="Z29" s="72">
        <v>3</v>
      </c>
    </row>
    <row r="30" spans="1:27" x14ac:dyDescent="0.25">
      <c r="A30" s="2">
        <v>106</v>
      </c>
      <c r="B30" t="s">
        <v>908</v>
      </c>
      <c r="C30" t="s">
        <v>909</v>
      </c>
      <c r="D30" t="s">
        <v>910</v>
      </c>
      <c r="E30" t="s">
        <v>911</v>
      </c>
      <c r="G30" t="s">
        <v>527</v>
      </c>
      <c r="H30" t="s">
        <v>528</v>
      </c>
      <c r="I30" t="s">
        <v>912</v>
      </c>
      <c r="J30" t="s">
        <v>913</v>
      </c>
      <c r="K30" t="s">
        <v>914</v>
      </c>
      <c r="L30" s="2">
        <v>20</v>
      </c>
      <c r="M30" s="2">
        <v>4</v>
      </c>
      <c r="N30" t="s">
        <v>32</v>
      </c>
      <c r="O30" t="s">
        <v>121</v>
      </c>
      <c r="P30" t="s">
        <v>34</v>
      </c>
      <c r="Q30" t="s">
        <v>156</v>
      </c>
      <c r="S30" t="s">
        <v>915</v>
      </c>
      <c r="T30" s="3">
        <v>600</v>
      </c>
      <c r="U30" t="s">
        <v>36</v>
      </c>
      <c r="V30" t="s">
        <v>916</v>
      </c>
      <c r="W30" s="2">
        <v>1739292511</v>
      </c>
      <c r="Z30" s="72">
        <v>3</v>
      </c>
    </row>
    <row r="31" spans="1:27" s="23" customFormat="1" x14ac:dyDescent="0.25">
      <c r="A31" s="2">
        <v>112</v>
      </c>
      <c r="B31" t="s">
        <v>948</v>
      </c>
      <c r="C31" t="s">
        <v>949</v>
      </c>
      <c r="D31" t="s">
        <v>950</v>
      </c>
      <c r="E31" t="s">
        <v>951</v>
      </c>
      <c r="F31"/>
      <c r="G31" t="s">
        <v>527</v>
      </c>
      <c r="H31" t="s">
        <v>528</v>
      </c>
      <c r="I31" t="s">
        <v>952</v>
      </c>
      <c r="J31" s="3">
        <v>621.08000000000004</v>
      </c>
      <c r="K31" t="s">
        <v>953</v>
      </c>
      <c r="L31" s="2">
        <v>20</v>
      </c>
      <c r="M31" s="2">
        <v>4</v>
      </c>
      <c r="N31" t="s">
        <v>32</v>
      </c>
      <c r="O31" t="s">
        <v>156</v>
      </c>
      <c r="P31" t="s">
        <v>34</v>
      </c>
      <c r="Q31" t="s">
        <v>156</v>
      </c>
      <c r="R31"/>
      <c r="S31" t="s">
        <v>954</v>
      </c>
      <c r="T31" s="3">
        <v>600</v>
      </c>
      <c r="U31" t="s">
        <v>36</v>
      </c>
      <c r="V31" t="s">
        <v>955</v>
      </c>
      <c r="W31" s="2">
        <v>1739826342</v>
      </c>
      <c r="X31"/>
      <c r="Y31"/>
      <c r="Z31" s="72">
        <v>2</v>
      </c>
      <c r="AA31"/>
    </row>
    <row r="32" spans="1:27" s="23" customFormat="1" x14ac:dyDescent="0.25">
      <c r="A32" s="22">
        <v>127</v>
      </c>
      <c r="B32" s="23" t="s">
        <v>1060</v>
      </c>
      <c r="C32" s="23" t="s">
        <v>1061</v>
      </c>
      <c r="D32" s="23" t="s">
        <v>1062</v>
      </c>
      <c r="E32" s="23" t="s">
        <v>1063</v>
      </c>
      <c r="G32" s="23" t="s">
        <v>527</v>
      </c>
      <c r="H32" s="23" t="s">
        <v>528</v>
      </c>
      <c r="I32" s="23" t="s">
        <v>1064</v>
      </c>
      <c r="J32" s="25">
        <v>722.01</v>
      </c>
      <c r="K32" s="23" t="s">
        <v>1065</v>
      </c>
      <c r="L32" s="22">
        <v>8</v>
      </c>
      <c r="M32" s="22">
        <v>2</v>
      </c>
      <c r="N32" s="23" t="s">
        <v>32</v>
      </c>
      <c r="O32" s="23" t="s">
        <v>121</v>
      </c>
      <c r="P32" s="23" t="s">
        <v>34</v>
      </c>
      <c r="Q32" s="23" t="s">
        <v>156</v>
      </c>
      <c r="R32" s="24" t="s">
        <v>1066</v>
      </c>
      <c r="S32" s="23" t="s">
        <v>1067</v>
      </c>
      <c r="T32" s="25">
        <v>250</v>
      </c>
      <c r="U32" s="23" t="s">
        <v>36</v>
      </c>
      <c r="V32" s="23" t="s">
        <v>1068</v>
      </c>
      <c r="W32" s="22">
        <v>1741106525</v>
      </c>
      <c r="Z32" s="72">
        <v>4</v>
      </c>
      <c r="AA32"/>
    </row>
    <row r="33" spans="1:27" s="23" customFormat="1" x14ac:dyDescent="0.25">
      <c r="A33" s="22">
        <v>130</v>
      </c>
      <c r="B33" s="23" t="s">
        <v>1086</v>
      </c>
      <c r="C33" s="23" t="s">
        <v>1087</v>
      </c>
      <c r="D33" s="23" t="s">
        <v>1088</v>
      </c>
      <c r="E33" s="23" t="s">
        <v>1089</v>
      </c>
      <c r="F33" s="23" t="s">
        <v>1090</v>
      </c>
      <c r="G33" s="23" t="s">
        <v>527</v>
      </c>
      <c r="H33" s="23" t="s">
        <v>528</v>
      </c>
      <c r="I33" s="23" t="s">
        <v>1091</v>
      </c>
      <c r="J33" s="25">
        <v>112.53</v>
      </c>
      <c r="K33" s="23" t="s">
        <v>692</v>
      </c>
      <c r="L33" s="22">
        <v>13</v>
      </c>
      <c r="M33" s="22">
        <v>2</v>
      </c>
      <c r="N33" s="23" t="s">
        <v>32</v>
      </c>
      <c r="O33" s="23" t="s">
        <v>155</v>
      </c>
      <c r="P33" s="23" t="s">
        <v>34</v>
      </c>
      <c r="Q33" s="23" t="s">
        <v>156</v>
      </c>
      <c r="R33" s="23" t="s">
        <v>1092</v>
      </c>
      <c r="S33" s="23" t="s">
        <v>1093</v>
      </c>
      <c r="T33" s="25">
        <v>375</v>
      </c>
      <c r="U33" s="23" t="s">
        <v>36</v>
      </c>
      <c r="V33" s="23" t="s">
        <v>1094</v>
      </c>
      <c r="W33" s="22">
        <v>1742490041</v>
      </c>
      <c r="Z33" s="72">
        <v>3</v>
      </c>
      <c r="AA33"/>
    </row>
    <row r="34" spans="1:27" s="23" customFormat="1" ht="45" customHeight="1" x14ac:dyDescent="0.25">
      <c r="A34" s="67">
        <v>42</v>
      </c>
      <c r="B34" s="64" t="s">
        <v>393</v>
      </c>
      <c r="C34" s="64" t="s">
        <v>394</v>
      </c>
      <c r="D34" s="64" t="s">
        <v>395</v>
      </c>
      <c r="E34" s="64" t="s">
        <v>396</v>
      </c>
      <c r="F34" s="64"/>
      <c r="G34" s="66" t="s">
        <v>1171</v>
      </c>
      <c r="H34" s="66" t="s">
        <v>1170</v>
      </c>
      <c r="I34" s="64" t="s">
        <v>398</v>
      </c>
      <c r="J34" s="64" t="s">
        <v>399</v>
      </c>
      <c r="K34" s="64" t="s">
        <v>400</v>
      </c>
      <c r="L34" s="65">
        <v>10</v>
      </c>
      <c r="M34" s="65">
        <v>3</v>
      </c>
      <c r="N34" s="64" t="s">
        <v>32</v>
      </c>
      <c r="O34" s="64" t="s">
        <v>318</v>
      </c>
      <c r="P34" s="64" t="s">
        <v>34</v>
      </c>
      <c r="Q34" s="64" t="s">
        <v>33</v>
      </c>
      <c r="R34" s="63" t="s">
        <v>1177</v>
      </c>
      <c r="S34" s="20" t="s">
        <v>401</v>
      </c>
      <c r="T34" s="21">
        <v>325</v>
      </c>
      <c r="U34" s="20" t="s">
        <v>36</v>
      </c>
      <c r="V34" s="20" t="s">
        <v>402</v>
      </c>
      <c r="W34" s="19">
        <v>1733340992</v>
      </c>
      <c r="X34" s="20"/>
      <c r="Y34" s="20"/>
      <c r="Z34" s="74">
        <v>2</v>
      </c>
      <c r="AA34"/>
    </row>
    <row r="35" spans="1:27" x14ac:dyDescent="0.25">
      <c r="A35" s="22">
        <v>57</v>
      </c>
      <c r="B35" s="23" t="s">
        <v>503</v>
      </c>
      <c r="C35" s="23" t="s">
        <v>504</v>
      </c>
      <c r="D35" s="23" t="s">
        <v>505</v>
      </c>
      <c r="E35" s="23" t="s">
        <v>506</v>
      </c>
      <c r="F35" s="23" t="s">
        <v>507</v>
      </c>
      <c r="G35" s="24" t="s">
        <v>1171</v>
      </c>
      <c r="H35" s="24" t="s">
        <v>1170</v>
      </c>
      <c r="I35" s="23" t="s">
        <v>508</v>
      </c>
      <c r="J35" s="23" t="s">
        <v>509</v>
      </c>
      <c r="K35" s="23" t="s">
        <v>510</v>
      </c>
      <c r="L35" s="22">
        <v>1</v>
      </c>
      <c r="M35" s="22">
        <v>1</v>
      </c>
      <c r="N35" s="23" t="s">
        <v>32</v>
      </c>
      <c r="O35" s="23" t="s">
        <v>121</v>
      </c>
      <c r="P35" s="23" t="s">
        <v>34</v>
      </c>
      <c r="Q35" s="23" t="s">
        <v>33</v>
      </c>
      <c r="R35" s="24" t="s">
        <v>507</v>
      </c>
      <c r="S35" s="23" t="s">
        <v>511</v>
      </c>
      <c r="T35" s="25">
        <v>50</v>
      </c>
      <c r="U35" s="23" t="s">
        <v>36</v>
      </c>
      <c r="V35" s="23" t="s">
        <v>512</v>
      </c>
      <c r="W35" s="22">
        <v>1736411701</v>
      </c>
      <c r="X35" s="23"/>
      <c r="Y35" s="23"/>
      <c r="Z35" s="72">
        <v>1</v>
      </c>
    </row>
    <row r="36" spans="1:27" x14ac:dyDescent="0.25">
      <c r="A36" s="2">
        <v>58</v>
      </c>
      <c r="B36" t="s">
        <v>513</v>
      </c>
      <c r="C36" t="s">
        <v>514</v>
      </c>
      <c r="D36" t="s">
        <v>515</v>
      </c>
      <c r="E36" t="s">
        <v>516</v>
      </c>
      <c r="G36" t="s">
        <v>397</v>
      </c>
      <c r="H36" t="s">
        <v>517</v>
      </c>
      <c r="I36" t="s">
        <v>518</v>
      </c>
      <c r="J36" t="s">
        <v>519</v>
      </c>
      <c r="K36" t="s">
        <v>520</v>
      </c>
      <c r="L36" s="2">
        <v>21</v>
      </c>
      <c r="M36" s="2">
        <v>4</v>
      </c>
      <c r="N36" t="s">
        <v>32</v>
      </c>
      <c r="O36" t="s">
        <v>33</v>
      </c>
      <c r="P36" t="s">
        <v>34</v>
      </c>
      <c r="Q36" t="s">
        <v>156</v>
      </c>
      <c r="S36" t="s">
        <v>521</v>
      </c>
      <c r="T36" s="3">
        <v>625</v>
      </c>
      <c r="U36" t="s">
        <v>36</v>
      </c>
      <c r="V36" t="s">
        <v>522</v>
      </c>
      <c r="W36" s="2">
        <v>1736702112</v>
      </c>
      <c r="Z36" s="72">
        <v>3</v>
      </c>
    </row>
    <row r="37" spans="1:27" x14ac:dyDescent="0.25">
      <c r="A37" s="2">
        <v>19</v>
      </c>
      <c r="B37" t="s">
        <v>178</v>
      </c>
      <c r="C37" t="s">
        <v>179</v>
      </c>
      <c r="D37" t="s">
        <v>180</v>
      </c>
      <c r="E37" t="s">
        <v>181</v>
      </c>
      <c r="G37" t="s">
        <v>182</v>
      </c>
      <c r="H37" t="s">
        <v>183</v>
      </c>
      <c r="I37" t="s">
        <v>184</v>
      </c>
      <c r="J37" s="2">
        <v>2020329</v>
      </c>
      <c r="K37" t="s">
        <v>185</v>
      </c>
      <c r="L37" s="2">
        <v>17</v>
      </c>
      <c r="M37" s="2">
        <v>4</v>
      </c>
      <c r="N37" t="s">
        <v>32</v>
      </c>
      <c r="O37" t="s">
        <v>121</v>
      </c>
      <c r="P37" t="s">
        <v>34</v>
      </c>
      <c r="Q37" t="s">
        <v>33</v>
      </c>
      <c r="S37" t="s">
        <v>157</v>
      </c>
      <c r="T37" s="3">
        <v>525</v>
      </c>
      <c r="U37" t="s">
        <v>36</v>
      </c>
      <c r="V37" t="s">
        <v>186</v>
      </c>
      <c r="W37" s="2">
        <v>1733008405</v>
      </c>
      <c r="Z37" s="72">
        <v>4</v>
      </c>
    </row>
    <row r="38" spans="1:27" x14ac:dyDescent="0.25">
      <c r="A38" s="16">
        <v>20</v>
      </c>
      <c r="B38" s="17" t="s">
        <v>187</v>
      </c>
      <c r="C38" s="17" t="s">
        <v>188</v>
      </c>
      <c r="D38" s="17" t="s">
        <v>189</v>
      </c>
      <c r="E38" s="17" t="s">
        <v>190</v>
      </c>
      <c r="F38" s="17"/>
      <c r="G38" s="17" t="s">
        <v>182</v>
      </c>
      <c r="H38" s="17" t="s">
        <v>183</v>
      </c>
      <c r="I38" s="17" t="s">
        <v>191</v>
      </c>
      <c r="J38" s="17" t="s">
        <v>192</v>
      </c>
      <c r="K38" s="17" t="s">
        <v>193</v>
      </c>
      <c r="L38" s="16">
        <v>21</v>
      </c>
      <c r="M38" s="16">
        <v>5</v>
      </c>
      <c r="N38" s="17" t="s">
        <v>32</v>
      </c>
      <c r="O38" s="17" t="s">
        <v>121</v>
      </c>
      <c r="P38" s="17" t="s">
        <v>34</v>
      </c>
      <c r="Q38" s="17" t="s">
        <v>156</v>
      </c>
      <c r="R38" s="17" t="s">
        <v>194</v>
      </c>
      <c r="S38" s="17" t="s">
        <v>168</v>
      </c>
      <c r="T38" s="18">
        <v>650</v>
      </c>
      <c r="U38" s="17" t="s">
        <v>36</v>
      </c>
      <c r="V38" s="17" t="s">
        <v>195</v>
      </c>
      <c r="W38" s="16">
        <v>1733008620</v>
      </c>
      <c r="X38" s="17"/>
      <c r="Y38" s="17"/>
      <c r="Z38" s="72">
        <v>2</v>
      </c>
    </row>
    <row r="39" spans="1:27" x14ac:dyDescent="0.25">
      <c r="A39" s="2">
        <v>22</v>
      </c>
      <c r="B39" t="s">
        <v>207</v>
      </c>
      <c r="C39" t="s">
        <v>208</v>
      </c>
      <c r="D39" t="s">
        <v>209</v>
      </c>
      <c r="E39" t="s">
        <v>210</v>
      </c>
      <c r="G39" t="s">
        <v>182</v>
      </c>
      <c r="H39" t="s">
        <v>183</v>
      </c>
      <c r="I39" t="s">
        <v>211</v>
      </c>
      <c r="J39" s="2">
        <v>3363</v>
      </c>
      <c r="K39" t="s">
        <v>212</v>
      </c>
      <c r="L39" s="2">
        <v>14</v>
      </c>
      <c r="M39" s="2">
        <v>3</v>
      </c>
      <c r="N39" t="s">
        <v>32</v>
      </c>
      <c r="O39" t="s">
        <v>155</v>
      </c>
      <c r="P39" t="s">
        <v>34</v>
      </c>
      <c r="Q39" t="s">
        <v>33</v>
      </c>
      <c r="S39" t="s">
        <v>168</v>
      </c>
      <c r="T39" s="3">
        <v>425</v>
      </c>
      <c r="U39" t="s">
        <v>36</v>
      </c>
      <c r="V39" t="s">
        <v>213</v>
      </c>
      <c r="W39" s="2">
        <v>1733009606</v>
      </c>
      <c r="Z39" s="72">
        <v>1</v>
      </c>
    </row>
    <row r="40" spans="1:27" x14ac:dyDescent="0.25">
      <c r="A40" s="22">
        <v>23</v>
      </c>
      <c r="B40" s="23" t="s">
        <v>214</v>
      </c>
      <c r="C40" s="23" t="s">
        <v>215</v>
      </c>
      <c r="D40" s="23" t="s">
        <v>216</v>
      </c>
      <c r="E40" s="23" t="s">
        <v>217</v>
      </c>
      <c r="F40" s="23" t="s">
        <v>218</v>
      </c>
      <c r="G40" s="23" t="s">
        <v>182</v>
      </c>
      <c r="H40" s="23" t="s">
        <v>183</v>
      </c>
      <c r="I40" s="23" t="s">
        <v>219</v>
      </c>
      <c r="J40" s="22">
        <v>140101</v>
      </c>
      <c r="K40" s="23" t="s">
        <v>220</v>
      </c>
      <c r="L40" s="22">
        <v>27</v>
      </c>
      <c r="M40" s="22">
        <v>7</v>
      </c>
      <c r="N40" s="23" t="s">
        <v>32</v>
      </c>
      <c r="O40" s="23" t="s">
        <v>33</v>
      </c>
      <c r="P40" s="23" t="s">
        <v>34</v>
      </c>
      <c r="Q40" s="23" t="s">
        <v>33</v>
      </c>
      <c r="R40" s="24" t="s">
        <v>221</v>
      </c>
      <c r="S40" s="23" t="s">
        <v>168</v>
      </c>
      <c r="T40" s="25">
        <v>850</v>
      </c>
      <c r="U40" s="23" t="s">
        <v>36</v>
      </c>
      <c r="V40" s="23" t="s">
        <v>222</v>
      </c>
      <c r="W40" s="22">
        <v>1733009773</v>
      </c>
      <c r="X40" s="23"/>
      <c r="Y40" s="23"/>
      <c r="Z40" s="72">
        <v>2</v>
      </c>
    </row>
    <row r="41" spans="1:27" x14ac:dyDescent="0.25">
      <c r="A41" s="2">
        <v>24</v>
      </c>
      <c r="B41" t="s">
        <v>223</v>
      </c>
      <c r="C41" t="s">
        <v>224</v>
      </c>
      <c r="D41" t="s">
        <v>225</v>
      </c>
      <c r="E41" t="s">
        <v>226</v>
      </c>
      <c r="G41" t="s">
        <v>182</v>
      </c>
      <c r="H41" t="s">
        <v>183</v>
      </c>
      <c r="I41" t="s">
        <v>227</v>
      </c>
      <c r="J41" t="s">
        <v>228</v>
      </c>
      <c r="K41" t="s">
        <v>229</v>
      </c>
      <c r="L41" s="2">
        <v>48</v>
      </c>
      <c r="M41" s="2">
        <v>9</v>
      </c>
      <c r="N41" t="s">
        <v>32</v>
      </c>
      <c r="O41" t="s">
        <v>33</v>
      </c>
      <c r="P41" t="s">
        <v>34</v>
      </c>
      <c r="Q41" t="s">
        <v>33</v>
      </c>
      <c r="S41" t="s">
        <v>168</v>
      </c>
      <c r="T41" s="3">
        <v>1425</v>
      </c>
      <c r="U41" t="s">
        <v>36</v>
      </c>
      <c r="V41" t="s">
        <v>230</v>
      </c>
      <c r="W41" s="2">
        <v>1733012451</v>
      </c>
      <c r="Z41" s="72">
        <v>1</v>
      </c>
    </row>
    <row r="42" spans="1:27" x14ac:dyDescent="0.25">
      <c r="A42" s="2">
        <v>25</v>
      </c>
      <c r="B42" t="s">
        <v>231</v>
      </c>
      <c r="C42" t="s">
        <v>232</v>
      </c>
      <c r="D42" t="s">
        <v>233</v>
      </c>
      <c r="E42" t="s">
        <v>234</v>
      </c>
      <c r="F42" t="s">
        <v>235</v>
      </c>
      <c r="G42" t="s">
        <v>182</v>
      </c>
      <c r="H42" t="s">
        <v>183</v>
      </c>
      <c r="I42" t="s">
        <v>236</v>
      </c>
      <c r="J42" t="s">
        <v>237</v>
      </c>
      <c r="K42" t="s">
        <v>238</v>
      </c>
      <c r="L42" s="2">
        <v>27</v>
      </c>
      <c r="M42" s="2">
        <v>6</v>
      </c>
      <c r="N42" t="s">
        <v>32</v>
      </c>
      <c r="O42" t="s">
        <v>33</v>
      </c>
      <c r="P42" t="s">
        <v>34</v>
      </c>
      <c r="Q42" t="s">
        <v>33</v>
      </c>
      <c r="S42" t="s">
        <v>168</v>
      </c>
      <c r="T42" s="3">
        <v>825</v>
      </c>
      <c r="U42" t="s">
        <v>36</v>
      </c>
      <c r="V42" t="s">
        <v>239</v>
      </c>
      <c r="W42" s="2">
        <v>1733012493</v>
      </c>
      <c r="Z42" s="72">
        <v>3</v>
      </c>
    </row>
    <row r="43" spans="1:27" s="17" customFormat="1" x14ac:dyDescent="0.25">
      <c r="A43" s="22">
        <v>26</v>
      </c>
      <c r="B43" s="23" t="s">
        <v>240</v>
      </c>
      <c r="C43" s="23" t="s">
        <v>241</v>
      </c>
      <c r="D43" s="23" t="s">
        <v>242</v>
      </c>
      <c r="E43" s="23" t="s">
        <v>243</v>
      </c>
      <c r="F43" s="23" t="s">
        <v>244</v>
      </c>
      <c r="G43" s="23" t="s">
        <v>182</v>
      </c>
      <c r="H43" s="23" t="s">
        <v>183</v>
      </c>
      <c r="I43" s="23" t="s">
        <v>245</v>
      </c>
      <c r="J43" s="23" t="s">
        <v>246</v>
      </c>
      <c r="K43" s="23" t="s">
        <v>247</v>
      </c>
      <c r="L43" s="22">
        <v>12</v>
      </c>
      <c r="M43" s="22">
        <v>4</v>
      </c>
      <c r="N43" s="23" t="s">
        <v>32</v>
      </c>
      <c r="O43" s="23" t="s">
        <v>33</v>
      </c>
      <c r="P43" t="s">
        <v>34</v>
      </c>
      <c r="Q43" s="23" t="s">
        <v>33</v>
      </c>
      <c r="R43" s="23" t="s">
        <v>248</v>
      </c>
      <c r="S43" s="23" t="s">
        <v>249</v>
      </c>
      <c r="T43" s="25">
        <v>400</v>
      </c>
      <c r="U43" s="23" t="s">
        <v>36</v>
      </c>
      <c r="V43" s="23" t="s">
        <v>250</v>
      </c>
      <c r="W43" s="22">
        <v>1733045552</v>
      </c>
      <c r="X43" s="23"/>
      <c r="Y43" s="23"/>
      <c r="Z43" s="72">
        <v>3</v>
      </c>
      <c r="AA43"/>
    </row>
    <row r="44" spans="1:27" x14ac:dyDescent="0.25">
      <c r="A44" s="2">
        <v>28</v>
      </c>
      <c r="B44" t="s">
        <v>264</v>
      </c>
      <c r="C44" t="s">
        <v>265</v>
      </c>
      <c r="D44" t="s">
        <v>266</v>
      </c>
      <c r="E44" t="s">
        <v>267</v>
      </c>
      <c r="F44" t="s">
        <v>268</v>
      </c>
      <c r="G44" t="s">
        <v>182</v>
      </c>
      <c r="H44" t="s">
        <v>183</v>
      </c>
      <c r="I44" t="s">
        <v>269</v>
      </c>
      <c r="J44" t="s">
        <v>270</v>
      </c>
      <c r="K44" t="s">
        <v>271</v>
      </c>
      <c r="L44" s="2">
        <v>26</v>
      </c>
      <c r="M44" s="2">
        <v>6</v>
      </c>
      <c r="N44" t="s">
        <v>32</v>
      </c>
      <c r="O44" t="s">
        <v>155</v>
      </c>
      <c r="P44" t="s">
        <v>34</v>
      </c>
      <c r="Q44" t="s">
        <v>156</v>
      </c>
      <c r="S44" t="s">
        <v>272</v>
      </c>
      <c r="T44" s="3">
        <v>800</v>
      </c>
      <c r="U44" t="s">
        <v>36</v>
      </c>
      <c r="V44" t="s">
        <v>273</v>
      </c>
      <c r="W44" s="2">
        <v>1733054978</v>
      </c>
      <c r="Z44" s="72">
        <v>3</v>
      </c>
    </row>
    <row r="45" spans="1:27" x14ac:dyDescent="0.25">
      <c r="A45" s="2">
        <v>29</v>
      </c>
      <c r="B45" s="4" t="s">
        <v>291</v>
      </c>
      <c r="C45" s="4" t="s">
        <v>1182</v>
      </c>
      <c r="D45" t="s">
        <v>1181</v>
      </c>
      <c r="E45" s="70" t="s">
        <v>1183</v>
      </c>
      <c r="G45" t="s">
        <v>182</v>
      </c>
      <c r="H45" t="s">
        <v>183</v>
      </c>
      <c r="I45" t="s">
        <v>274</v>
      </c>
      <c r="J45" t="s">
        <v>275</v>
      </c>
      <c r="K45" t="s">
        <v>276</v>
      </c>
      <c r="L45" s="2">
        <v>25</v>
      </c>
      <c r="M45" s="2">
        <v>5</v>
      </c>
      <c r="N45" t="s">
        <v>32</v>
      </c>
      <c r="O45" t="s">
        <v>121</v>
      </c>
      <c r="P45" t="s">
        <v>34</v>
      </c>
      <c r="Q45" t="s">
        <v>156</v>
      </c>
      <c r="S45" t="s">
        <v>277</v>
      </c>
      <c r="T45" s="3">
        <v>750</v>
      </c>
      <c r="U45" t="s">
        <v>36</v>
      </c>
      <c r="V45" t="s">
        <v>278</v>
      </c>
      <c r="W45" s="2">
        <v>1733055333</v>
      </c>
      <c r="Z45" s="72">
        <v>3</v>
      </c>
    </row>
    <row r="46" spans="1:27" x14ac:dyDescent="0.25">
      <c r="A46" s="2">
        <v>34</v>
      </c>
      <c r="B46" s="60" t="s">
        <v>322</v>
      </c>
      <c r="C46" t="s">
        <v>323</v>
      </c>
      <c r="D46" t="s">
        <v>324</v>
      </c>
      <c r="E46" t="s">
        <v>325</v>
      </c>
      <c r="G46" t="s">
        <v>182</v>
      </c>
      <c r="H46" t="s">
        <v>183</v>
      </c>
      <c r="I46" t="s">
        <v>326</v>
      </c>
      <c r="J46" t="s">
        <v>327</v>
      </c>
      <c r="K46" t="s">
        <v>296</v>
      </c>
      <c r="L46" s="2">
        <v>5</v>
      </c>
      <c r="M46" s="2">
        <v>3</v>
      </c>
      <c r="N46" t="s">
        <v>32</v>
      </c>
      <c r="O46" t="s">
        <v>33</v>
      </c>
      <c r="P46" t="s">
        <v>34</v>
      </c>
      <c r="Q46" t="s">
        <v>33</v>
      </c>
      <c r="S46" t="s">
        <v>328</v>
      </c>
      <c r="T46" s="3">
        <v>200</v>
      </c>
      <c r="U46" t="s">
        <v>36</v>
      </c>
      <c r="V46" t="s">
        <v>329</v>
      </c>
      <c r="W46" s="2">
        <v>1733135308</v>
      </c>
      <c r="Z46" s="72">
        <v>3</v>
      </c>
    </row>
    <row r="47" spans="1:27" s="17" customFormat="1" x14ac:dyDescent="0.25">
      <c r="A47" s="2">
        <v>35</v>
      </c>
      <c r="B47" s="60" t="s">
        <v>330</v>
      </c>
      <c r="C47" t="s">
        <v>331</v>
      </c>
      <c r="D47" t="s">
        <v>332</v>
      </c>
      <c r="E47" t="s">
        <v>333</v>
      </c>
      <c r="F47" t="s">
        <v>334</v>
      </c>
      <c r="G47" t="s">
        <v>182</v>
      </c>
      <c r="H47" t="s">
        <v>183</v>
      </c>
      <c r="I47" t="s">
        <v>335</v>
      </c>
      <c r="J47" t="s">
        <v>336</v>
      </c>
      <c r="K47" s="60" t="s">
        <v>337</v>
      </c>
      <c r="L47" s="61">
        <v>15</v>
      </c>
      <c r="M47" s="2">
        <v>4</v>
      </c>
      <c r="N47" t="s">
        <v>32</v>
      </c>
      <c r="O47" t="s">
        <v>33</v>
      </c>
      <c r="P47" t="s">
        <v>34</v>
      </c>
      <c r="Q47" t="s">
        <v>121</v>
      </c>
      <c r="R47"/>
      <c r="S47" t="s">
        <v>338</v>
      </c>
      <c r="T47" s="3">
        <v>475</v>
      </c>
      <c r="U47" t="s">
        <v>36</v>
      </c>
      <c r="V47" t="s">
        <v>339</v>
      </c>
      <c r="W47" s="2">
        <v>1733162478</v>
      </c>
      <c r="X47"/>
      <c r="Y47"/>
      <c r="Z47" s="75">
        <v>2</v>
      </c>
      <c r="AA47"/>
    </row>
    <row r="48" spans="1:27" x14ac:dyDescent="0.25">
      <c r="A48" s="2">
        <v>36</v>
      </c>
      <c r="B48" s="60" t="s">
        <v>340</v>
      </c>
      <c r="C48" t="s">
        <v>341</v>
      </c>
      <c r="D48" t="s">
        <v>342</v>
      </c>
      <c r="E48" t="s">
        <v>343</v>
      </c>
      <c r="G48" t="s">
        <v>182</v>
      </c>
      <c r="H48" t="s">
        <v>183</v>
      </c>
      <c r="I48" t="s">
        <v>344</v>
      </c>
      <c r="J48" t="s">
        <v>345</v>
      </c>
      <c r="K48" s="60" t="s">
        <v>346</v>
      </c>
      <c r="L48" s="61">
        <v>13</v>
      </c>
      <c r="M48" s="2">
        <v>2</v>
      </c>
      <c r="N48" t="s">
        <v>32</v>
      </c>
      <c r="O48" t="s">
        <v>121</v>
      </c>
      <c r="P48" t="s">
        <v>34</v>
      </c>
      <c r="Q48" t="s">
        <v>33</v>
      </c>
      <c r="S48" t="s">
        <v>347</v>
      </c>
      <c r="T48" s="3">
        <v>375</v>
      </c>
      <c r="U48" t="s">
        <v>36</v>
      </c>
      <c r="V48" t="s">
        <v>348</v>
      </c>
      <c r="W48" s="2">
        <v>1733164247</v>
      </c>
      <c r="Z48" s="75">
        <v>2</v>
      </c>
    </row>
    <row r="49" spans="1:27" x14ac:dyDescent="0.25">
      <c r="A49" s="2">
        <v>37</v>
      </c>
      <c r="B49" s="60" t="s">
        <v>349</v>
      </c>
      <c r="C49" t="s">
        <v>350</v>
      </c>
      <c r="D49" t="s">
        <v>351</v>
      </c>
      <c r="E49" t="s">
        <v>352</v>
      </c>
      <c r="G49" t="s">
        <v>182</v>
      </c>
      <c r="H49" t="s">
        <v>183</v>
      </c>
      <c r="I49" t="s">
        <v>353</v>
      </c>
      <c r="J49" t="s">
        <v>354</v>
      </c>
      <c r="K49" s="60" t="s">
        <v>337</v>
      </c>
      <c r="L49" s="61">
        <v>9</v>
      </c>
      <c r="M49" s="2">
        <v>2</v>
      </c>
      <c r="N49" t="s">
        <v>32</v>
      </c>
      <c r="O49" t="s">
        <v>155</v>
      </c>
      <c r="P49" t="s">
        <v>34</v>
      </c>
      <c r="Q49" t="s">
        <v>33</v>
      </c>
      <c r="S49" t="s">
        <v>355</v>
      </c>
      <c r="T49" s="3">
        <v>200</v>
      </c>
      <c r="U49" t="s">
        <v>36</v>
      </c>
      <c r="V49" t="s">
        <v>356</v>
      </c>
      <c r="W49" s="2">
        <v>1733165362</v>
      </c>
      <c r="Y49" s="60" t="s">
        <v>1174</v>
      </c>
      <c r="Z49" s="75">
        <v>2</v>
      </c>
    </row>
    <row r="50" spans="1:27" x14ac:dyDescent="0.25">
      <c r="A50" s="2">
        <v>38</v>
      </c>
      <c r="B50" t="s">
        <v>357</v>
      </c>
      <c r="C50" t="s">
        <v>358</v>
      </c>
      <c r="D50" t="s">
        <v>359</v>
      </c>
      <c r="E50" t="s">
        <v>360</v>
      </c>
      <c r="F50" t="s">
        <v>361</v>
      </c>
      <c r="G50" t="s">
        <v>182</v>
      </c>
      <c r="H50" t="s">
        <v>183</v>
      </c>
      <c r="I50" t="s">
        <v>361</v>
      </c>
      <c r="J50" t="s">
        <v>362</v>
      </c>
      <c r="K50" t="s">
        <v>363</v>
      </c>
      <c r="L50" s="2">
        <v>30</v>
      </c>
      <c r="M50" s="2">
        <v>6</v>
      </c>
      <c r="N50" t="s">
        <v>32</v>
      </c>
      <c r="O50" t="s">
        <v>155</v>
      </c>
      <c r="P50" t="s">
        <v>34</v>
      </c>
      <c r="Q50" t="s">
        <v>156</v>
      </c>
      <c r="S50" t="s">
        <v>364</v>
      </c>
      <c r="T50" s="3">
        <v>900</v>
      </c>
      <c r="U50" t="s">
        <v>36</v>
      </c>
      <c r="V50" t="s">
        <v>365</v>
      </c>
      <c r="W50" s="2">
        <v>1733169816</v>
      </c>
      <c r="Z50" s="72">
        <v>2</v>
      </c>
    </row>
    <row r="51" spans="1:27" s="23" customFormat="1" x14ac:dyDescent="0.25">
      <c r="A51" s="2">
        <v>39</v>
      </c>
      <c r="B51" t="s">
        <v>340</v>
      </c>
      <c r="C51" t="s">
        <v>366</v>
      </c>
      <c r="D51" t="s">
        <v>367</v>
      </c>
      <c r="E51" t="s">
        <v>368</v>
      </c>
      <c r="F51"/>
      <c r="G51" t="s">
        <v>182</v>
      </c>
      <c r="H51" t="s">
        <v>183</v>
      </c>
      <c r="I51" t="s">
        <v>369</v>
      </c>
      <c r="J51" t="s">
        <v>370</v>
      </c>
      <c r="K51" t="s">
        <v>371</v>
      </c>
      <c r="L51" s="2">
        <v>22</v>
      </c>
      <c r="M51" s="2">
        <v>5</v>
      </c>
      <c r="N51" t="s">
        <v>32</v>
      </c>
      <c r="O51" t="s">
        <v>121</v>
      </c>
      <c r="P51" t="s">
        <v>34</v>
      </c>
      <c r="Q51" t="s">
        <v>156</v>
      </c>
      <c r="R51"/>
      <c r="S51" t="s">
        <v>372</v>
      </c>
      <c r="T51" s="3">
        <v>675</v>
      </c>
      <c r="U51" t="s">
        <v>36</v>
      </c>
      <c r="V51" t="s">
        <v>373</v>
      </c>
      <c r="W51" s="2">
        <v>1733173633</v>
      </c>
      <c r="X51"/>
      <c r="Y51"/>
      <c r="Z51" s="72">
        <v>3</v>
      </c>
      <c r="AA51"/>
    </row>
    <row r="52" spans="1:27" s="23" customFormat="1" ht="23.25" x14ac:dyDescent="0.35">
      <c r="A52" s="68">
        <v>40</v>
      </c>
      <c r="B52" t="s">
        <v>374</v>
      </c>
      <c r="C52" t="s">
        <v>375</v>
      </c>
      <c r="D52" t="s">
        <v>376</v>
      </c>
      <c r="E52" t="s">
        <v>377</v>
      </c>
      <c r="F52" t="s">
        <v>378</v>
      </c>
      <c r="G52" t="s">
        <v>182</v>
      </c>
      <c r="H52" t="s">
        <v>183</v>
      </c>
      <c r="I52" t="s">
        <v>379</v>
      </c>
      <c r="J52" t="s">
        <v>380</v>
      </c>
      <c r="K52" t="s">
        <v>381</v>
      </c>
      <c r="L52" s="2">
        <v>12</v>
      </c>
      <c r="M52" s="2">
        <v>3</v>
      </c>
      <c r="N52" t="s">
        <v>32</v>
      </c>
      <c r="O52" t="s">
        <v>121</v>
      </c>
      <c r="P52" t="s">
        <v>34</v>
      </c>
      <c r="Q52" t="s">
        <v>33</v>
      </c>
      <c r="R52"/>
      <c r="S52" t="s">
        <v>382</v>
      </c>
      <c r="T52" s="3">
        <v>375</v>
      </c>
      <c r="U52" t="s">
        <v>36</v>
      </c>
      <c r="V52" t="s">
        <v>383</v>
      </c>
      <c r="W52" s="2">
        <v>1733178006</v>
      </c>
      <c r="X52"/>
      <c r="Y52"/>
      <c r="Z52" s="74">
        <v>4</v>
      </c>
      <c r="AA52"/>
    </row>
    <row r="53" spans="1:27" x14ac:dyDescent="0.25">
      <c r="A53" s="2">
        <v>41</v>
      </c>
      <c r="B53" t="s">
        <v>384</v>
      </c>
      <c r="C53" t="s">
        <v>385</v>
      </c>
      <c r="D53" t="s">
        <v>386</v>
      </c>
      <c r="E53" t="s">
        <v>387</v>
      </c>
      <c r="G53" t="s">
        <v>182</v>
      </c>
      <c r="H53" t="s">
        <v>183</v>
      </c>
      <c r="I53" t="s">
        <v>388</v>
      </c>
      <c r="J53" t="s">
        <v>389</v>
      </c>
      <c r="K53" t="s">
        <v>390</v>
      </c>
      <c r="L53" s="2">
        <v>5</v>
      </c>
      <c r="M53" s="2">
        <v>1</v>
      </c>
      <c r="N53" t="s">
        <v>32</v>
      </c>
      <c r="O53" t="s">
        <v>155</v>
      </c>
      <c r="P53" t="s">
        <v>34</v>
      </c>
      <c r="Q53" t="s">
        <v>156</v>
      </c>
      <c r="S53" t="s">
        <v>391</v>
      </c>
      <c r="T53" s="3">
        <v>150</v>
      </c>
      <c r="U53" t="s">
        <v>36</v>
      </c>
      <c r="V53" t="s">
        <v>392</v>
      </c>
      <c r="W53" s="2">
        <v>1733264883</v>
      </c>
      <c r="Z53" s="72">
        <v>4</v>
      </c>
    </row>
    <row r="54" spans="1:27" x14ac:dyDescent="0.25">
      <c r="A54" s="2">
        <v>45</v>
      </c>
      <c r="B54" t="s">
        <v>420</v>
      </c>
      <c r="C54" t="s">
        <v>421</v>
      </c>
      <c r="D54" t="s">
        <v>422</v>
      </c>
      <c r="E54" t="s">
        <v>423</v>
      </c>
      <c r="G54" t="s">
        <v>182</v>
      </c>
      <c r="H54" t="s">
        <v>183</v>
      </c>
      <c r="I54" t="s">
        <v>424</v>
      </c>
      <c r="J54" t="s">
        <v>425</v>
      </c>
      <c r="K54" t="s">
        <v>426</v>
      </c>
      <c r="L54" s="2">
        <v>21</v>
      </c>
      <c r="M54" s="2">
        <v>5</v>
      </c>
      <c r="N54" t="s">
        <v>32</v>
      </c>
      <c r="O54" t="s">
        <v>156</v>
      </c>
      <c r="P54" t="s">
        <v>34</v>
      </c>
      <c r="Q54" t="s">
        <v>156</v>
      </c>
      <c r="S54" t="s">
        <v>427</v>
      </c>
      <c r="T54" s="3">
        <v>650</v>
      </c>
      <c r="U54" t="s">
        <v>36</v>
      </c>
      <c r="V54" t="s">
        <v>428</v>
      </c>
      <c r="W54" s="2">
        <v>1733602204</v>
      </c>
      <c r="Z54" s="72">
        <v>4</v>
      </c>
    </row>
    <row r="55" spans="1:27" x14ac:dyDescent="0.25">
      <c r="A55" s="16">
        <v>46</v>
      </c>
      <c r="B55" s="17" t="s">
        <v>429</v>
      </c>
      <c r="C55" s="17" t="s">
        <v>430</v>
      </c>
      <c r="D55" s="17" t="s">
        <v>431</v>
      </c>
      <c r="E55" s="17" t="s">
        <v>432</v>
      </c>
      <c r="F55" s="17" t="s">
        <v>433</v>
      </c>
      <c r="G55" s="17" t="s">
        <v>182</v>
      </c>
      <c r="H55" s="17" t="s">
        <v>183</v>
      </c>
      <c r="I55" s="17" t="s">
        <v>434</v>
      </c>
      <c r="J55" s="17" t="s">
        <v>435</v>
      </c>
      <c r="K55" s="17" t="s">
        <v>271</v>
      </c>
      <c r="L55" s="16">
        <v>9</v>
      </c>
      <c r="M55" s="16">
        <v>3</v>
      </c>
      <c r="N55" s="17" t="s">
        <v>32</v>
      </c>
      <c r="O55" s="17" t="s">
        <v>121</v>
      </c>
      <c r="P55" s="17" t="s">
        <v>34</v>
      </c>
      <c r="Q55" s="17" t="s">
        <v>33</v>
      </c>
      <c r="R55" s="27" t="s">
        <v>436</v>
      </c>
      <c r="S55" s="17" t="s">
        <v>437</v>
      </c>
      <c r="T55" s="18">
        <v>300</v>
      </c>
      <c r="U55" s="17" t="s">
        <v>36</v>
      </c>
      <c r="V55" s="17" t="s">
        <v>438</v>
      </c>
      <c r="W55" s="16">
        <v>1733603909</v>
      </c>
      <c r="X55" s="17"/>
      <c r="Y55" s="17"/>
      <c r="Z55" s="72">
        <v>3</v>
      </c>
    </row>
    <row r="56" spans="1:27" x14ac:dyDescent="0.25">
      <c r="A56" s="2">
        <v>47</v>
      </c>
      <c r="B56" t="s">
        <v>384</v>
      </c>
      <c r="C56" t="s">
        <v>385</v>
      </c>
      <c r="D56" t="s">
        <v>386</v>
      </c>
      <c r="E56" t="s">
        <v>387</v>
      </c>
      <c r="G56" t="s">
        <v>182</v>
      </c>
      <c r="H56" t="s">
        <v>183</v>
      </c>
      <c r="I56" t="s">
        <v>388</v>
      </c>
      <c r="J56" t="s">
        <v>389</v>
      </c>
      <c r="K56" t="s">
        <v>390</v>
      </c>
      <c r="L56" s="2">
        <v>1</v>
      </c>
      <c r="M56" s="2">
        <v>1</v>
      </c>
      <c r="N56" t="s">
        <v>32</v>
      </c>
      <c r="O56" t="s">
        <v>121</v>
      </c>
      <c r="P56" t="s">
        <v>34</v>
      </c>
      <c r="Q56" t="s">
        <v>156</v>
      </c>
      <c r="S56" t="s">
        <v>439</v>
      </c>
      <c r="T56" s="3">
        <v>50</v>
      </c>
      <c r="U56" t="s">
        <v>36</v>
      </c>
      <c r="V56" t="s">
        <v>440</v>
      </c>
      <c r="W56" s="2">
        <v>1733605049</v>
      </c>
      <c r="Z56" s="72">
        <v>4</v>
      </c>
    </row>
    <row r="57" spans="1:27" x14ac:dyDescent="0.25">
      <c r="A57" s="40">
        <v>111</v>
      </c>
      <c r="B57" s="10" t="s">
        <v>384</v>
      </c>
      <c r="C57" s="10" t="s">
        <v>385</v>
      </c>
      <c r="D57" s="10" t="s">
        <v>386</v>
      </c>
      <c r="E57" s="10" t="s">
        <v>387</v>
      </c>
      <c r="F57" s="10"/>
      <c r="G57" s="10" t="s">
        <v>182</v>
      </c>
      <c r="H57" s="10" t="s">
        <v>183</v>
      </c>
      <c r="I57" s="10" t="s">
        <v>388</v>
      </c>
      <c r="J57" s="10" t="s">
        <v>389</v>
      </c>
      <c r="K57" s="10" t="s">
        <v>390</v>
      </c>
      <c r="L57" s="40">
        <v>17</v>
      </c>
      <c r="M57" s="40">
        <v>3</v>
      </c>
      <c r="N57" s="10" t="s">
        <v>32</v>
      </c>
      <c r="O57" s="10" t="s">
        <v>155</v>
      </c>
      <c r="P57" s="10" t="s">
        <v>34</v>
      </c>
      <c r="Q57" s="10" t="s">
        <v>156</v>
      </c>
      <c r="R57" s="10" t="s">
        <v>945</v>
      </c>
      <c r="S57" s="10" t="s">
        <v>946</v>
      </c>
      <c r="T57" s="41">
        <v>500</v>
      </c>
      <c r="U57" s="10" t="s">
        <v>36</v>
      </c>
      <c r="V57" s="10" t="s">
        <v>947</v>
      </c>
      <c r="W57" s="40">
        <v>1739754014</v>
      </c>
      <c r="X57" s="10"/>
      <c r="Y57" s="10"/>
      <c r="Z57" s="72">
        <v>4</v>
      </c>
    </row>
    <row r="58" spans="1:27" s="23" customFormat="1" x14ac:dyDescent="0.25">
      <c r="A58" s="19">
        <v>21</v>
      </c>
      <c r="B58" s="20" t="s">
        <v>196</v>
      </c>
      <c r="C58" s="20" t="s">
        <v>197</v>
      </c>
      <c r="D58" s="20" t="s">
        <v>198</v>
      </c>
      <c r="E58" s="20" t="s">
        <v>199</v>
      </c>
      <c r="F58" s="20" t="s">
        <v>200</v>
      </c>
      <c r="G58" s="56" t="s">
        <v>1171</v>
      </c>
      <c r="H58" s="20" t="s">
        <v>201</v>
      </c>
      <c r="I58" s="20" t="s">
        <v>202</v>
      </c>
      <c r="J58" s="20" t="s">
        <v>203</v>
      </c>
      <c r="K58" s="20" t="s">
        <v>204</v>
      </c>
      <c r="L58" s="19">
        <v>6</v>
      </c>
      <c r="M58" s="19">
        <v>2</v>
      </c>
      <c r="N58" s="20" t="s">
        <v>32</v>
      </c>
      <c r="O58" s="20" t="s">
        <v>121</v>
      </c>
      <c r="P58" s="20" t="s">
        <v>34</v>
      </c>
      <c r="Q58" s="20" t="s">
        <v>156</v>
      </c>
      <c r="R58" s="56" t="s">
        <v>205</v>
      </c>
      <c r="S58" s="20" t="s">
        <v>168</v>
      </c>
      <c r="T58" s="21">
        <v>200</v>
      </c>
      <c r="U58" s="20" t="s">
        <v>36</v>
      </c>
      <c r="V58" s="20" t="s">
        <v>206</v>
      </c>
      <c r="W58" s="19">
        <v>1733009163</v>
      </c>
      <c r="X58" s="20"/>
      <c r="Y58" s="20"/>
      <c r="Z58" s="72">
        <v>2</v>
      </c>
      <c r="AA58"/>
    </row>
    <row r="59" spans="1:27" x14ac:dyDescent="0.25">
      <c r="A59" s="19">
        <v>17</v>
      </c>
      <c r="B59" s="20" t="s">
        <v>159</v>
      </c>
      <c r="C59" s="20" t="s">
        <v>160</v>
      </c>
      <c r="D59" s="20" t="s">
        <v>161</v>
      </c>
      <c r="E59" s="20" t="s">
        <v>162</v>
      </c>
      <c r="F59" s="20" t="s">
        <v>163</v>
      </c>
      <c r="G59" s="56" t="s">
        <v>1171</v>
      </c>
      <c r="H59" s="56" t="s">
        <v>1170</v>
      </c>
      <c r="I59" s="20" t="s">
        <v>165</v>
      </c>
      <c r="J59" s="20" t="s">
        <v>166</v>
      </c>
      <c r="K59" s="20" t="s">
        <v>167</v>
      </c>
      <c r="L59" s="19">
        <v>29</v>
      </c>
      <c r="M59" s="19">
        <v>6</v>
      </c>
      <c r="N59" s="20" t="s">
        <v>32</v>
      </c>
      <c r="O59" s="20" t="s">
        <v>156</v>
      </c>
      <c r="P59" s="20" t="s">
        <v>34</v>
      </c>
      <c r="Q59" s="20" t="s">
        <v>33</v>
      </c>
      <c r="R59" s="20"/>
      <c r="S59" s="20" t="s">
        <v>168</v>
      </c>
      <c r="T59" s="21">
        <v>875</v>
      </c>
      <c r="U59" s="20" t="s">
        <v>36</v>
      </c>
      <c r="V59" s="20" t="s">
        <v>169</v>
      </c>
      <c r="W59" s="19">
        <v>1733008231</v>
      </c>
      <c r="X59" s="20"/>
      <c r="Y59" s="20"/>
      <c r="Z59" s="72">
        <v>2</v>
      </c>
    </row>
    <row r="60" spans="1:27" x14ac:dyDescent="0.25">
      <c r="A60" s="2">
        <v>49</v>
      </c>
      <c r="B60" t="s">
        <v>412</v>
      </c>
      <c r="C60" t="s">
        <v>413</v>
      </c>
      <c r="D60" t="s">
        <v>414</v>
      </c>
      <c r="E60" t="s">
        <v>415</v>
      </c>
      <c r="G60" s="4" t="s">
        <v>1172</v>
      </c>
      <c r="H60" t="s">
        <v>164</v>
      </c>
      <c r="I60" t="s">
        <v>449</v>
      </c>
      <c r="J60" s="2">
        <v>31</v>
      </c>
      <c r="K60" t="s">
        <v>417</v>
      </c>
      <c r="L60" s="2">
        <v>2</v>
      </c>
      <c r="M60" s="2">
        <v>1</v>
      </c>
      <c r="N60" t="s">
        <v>32</v>
      </c>
      <c r="O60" t="s">
        <v>121</v>
      </c>
      <c r="P60" t="s">
        <v>34</v>
      </c>
      <c r="Q60" t="s">
        <v>33</v>
      </c>
      <c r="S60" t="s">
        <v>450</v>
      </c>
      <c r="T60" s="3">
        <v>75</v>
      </c>
      <c r="U60" t="s">
        <v>36</v>
      </c>
      <c r="V60" t="s">
        <v>451</v>
      </c>
      <c r="W60" s="2">
        <v>1733663236</v>
      </c>
      <c r="Z60" s="72">
        <v>2</v>
      </c>
    </row>
    <row r="61" spans="1:27" x14ac:dyDescent="0.25">
      <c r="A61" s="2">
        <v>16</v>
      </c>
      <c r="B61" t="s">
        <v>147</v>
      </c>
      <c r="C61" t="s">
        <v>148</v>
      </c>
      <c r="D61" t="s">
        <v>149</v>
      </c>
      <c r="E61" t="s">
        <v>150</v>
      </c>
      <c r="F61" t="s">
        <v>151</v>
      </c>
      <c r="G61" s="4" t="s">
        <v>154</v>
      </c>
      <c r="H61" t="s">
        <v>152</v>
      </c>
      <c r="I61" t="s">
        <v>153</v>
      </c>
      <c r="J61" s="2">
        <v>12345</v>
      </c>
      <c r="K61" t="s">
        <v>154</v>
      </c>
      <c r="L61" s="2">
        <v>30</v>
      </c>
      <c r="M61" s="2">
        <v>5</v>
      </c>
      <c r="N61" t="s">
        <v>32</v>
      </c>
      <c r="O61" t="s">
        <v>155</v>
      </c>
      <c r="P61" t="s">
        <v>34</v>
      </c>
      <c r="Q61" t="s">
        <v>156</v>
      </c>
      <c r="S61" t="s">
        <v>157</v>
      </c>
      <c r="T61" s="3">
        <v>875</v>
      </c>
      <c r="U61" t="s">
        <v>36</v>
      </c>
      <c r="V61" t="s">
        <v>158</v>
      </c>
      <c r="W61" s="2">
        <v>1733008224</v>
      </c>
      <c r="Z61" s="72">
        <v>3</v>
      </c>
    </row>
    <row r="62" spans="1:27" x14ac:dyDescent="0.25">
      <c r="A62" s="2">
        <v>44</v>
      </c>
      <c r="B62" t="s">
        <v>412</v>
      </c>
      <c r="C62" t="s">
        <v>413</v>
      </c>
      <c r="D62" t="s">
        <v>414</v>
      </c>
      <c r="E62" t="s">
        <v>415</v>
      </c>
      <c r="G62" s="4" t="s">
        <v>1172</v>
      </c>
      <c r="H62" t="s">
        <v>152</v>
      </c>
      <c r="I62" t="s">
        <v>416</v>
      </c>
      <c r="J62" s="2">
        <v>31</v>
      </c>
      <c r="K62" t="s">
        <v>417</v>
      </c>
      <c r="L62" s="2">
        <v>5</v>
      </c>
      <c r="M62" s="2">
        <v>1</v>
      </c>
      <c r="N62" t="s">
        <v>32</v>
      </c>
      <c r="O62" t="s">
        <v>121</v>
      </c>
      <c r="P62" t="s">
        <v>34</v>
      </c>
      <c r="Q62" t="s">
        <v>33</v>
      </c>
      <c r="S62" t="s">
        <v>418</v>
      </c>
      <c r="T62" s="3">
        <v>150</v>
      </c>
      <c r="U62" t="s">
        <v>36</v>
      </c>
      <c r="V62" t="s">
        <v>419</v>
      </c>
      <c r="W62" s="2">
        <v>1733600028</v>
      </c>
      <c r="Z62" s="72">
        <v>2</v>
      </c>
    </row>
    <row r="63" spans="1:27" x14ac:dyDescent="0.25">
      <c r="A63">
        <v>139</v>
      </c>
      <c r="B63" t="s">
        <v>1154</v>
      </c>
      <c r="C63" s="9" t="s">
        <v>1155</v>
      </c>
      <c r="G63" s="4" t="s">
        <v>1173</v>
      </c>
      <c r="H63" t="s">
        <v>1156</v>
      </c>
      <c r="K63" t="s">
        <v>1157</v>
      </c>
      <c r="L63">
        <v>12</v>
      </c>
      <c r="M63">
        <v>5</v>
      </c>
      <c r="N63" t="s">
        <v>32</v>
      </c>
      <c r="O63" t="s">
        <v>121</v>
      </c>
      <c r="P63" t="s">
        <v>34</v>
      </c>
      <c r="Q63" t="s">
        <v>156</v>
      </c>
      <c r="X63" t="s">
        <v>1158</v>
      </c>
      <c r="Y63">
        <v>575</v>
      </c>
      <c r="Z63" s="72">
        <v>3</v>
      </c>
    </row>
    <row r="64" spans="1:27" s="23" customFormat="1" ht="18.75" x14ac:dyDescent="0.3">
      <c r="A64" s="69">
        <v>18</v>
      </c>
      <c r="B64" t="s">
        <v>170</v>
      </c>
      <c r="C64" t="s">
        <v>171</v>
      </c>
      <c r="D64" t="s">
        <v>172</v>
      </c>
      <c r="E64" t="s">
        <v>173</v>
      </c>
      <c r="F64" t="s">
        <v>174</v>
      </c>
      <c r="G64" s="4" t="s">
        <v>1171</v>
      </c>
      <c r="H64" s="4" t="s">
        <v>1170</v>
      </c>
      <c r="I64" t="s">
        <v>174</v>
      </c>
      <c r="J64" t="s">
        <v>175</v>
      </c>
      <c r="K64" t="s">
        <v>176</v>
      </c>
      <c r="L64" s="2">
        <v>17</v>
      </c>
      <c r="M64" s="2">
        <v>5</v>
      </c>
      <c r="N64" t="s">
        <v>32</v>
      </c>
      <c r="O64" t="s">
        <v>33</v>
      </c>
      <c r="P64" t="s">
        <v>34</v>
      </c>
      <c r="Q64" t="s">
        <v>33</v>
      </c>
      <c r="R64"/>
      <c r="S64" t="s">
        <v>168</v>
      </c>
      <c r="T64" s="3">
        <v>550</v>
      </c>
      <c r="U64" t="s">
        <v>36</v>
      </c>
      <c r="V64" t="s">
        <v>177</v>
      </c>
      <c r="W64" s="2">
        <v>1733008263</v>
      </c>
      <c r="X64"/>
      <c r="Y64"/>
      <c r="Z64" s="73">
        <v>1</v>
      </c>
      <c r="AA64"/>
    </row>
    <row r="65" spans="1:27" s="33" customFormat="1" x14ac:dyDescent="0.25">
      <c r="A65" s="32">
        <v>84</v>
      </c>
      <c r="B65" s="33" t="s">
        <v>728</v>
      </c>
      <c r="C65" s="33" t="s">
        <v>729</v>
      </c>
      <c r="D65" s="33" t="s">
        <v>730</v>
      </c>
      <c r="E65" s="33" t="s">
        <v>731</v>
      </c>
      <c r="G65" s="33" t="s">
        <v>732</v>
      </c>
      <c r="H65" s="33" t="s">
        <v>733</v>
      </c>
      <c r="I65" s="33" t="s">
        <v>734</v>
      </c>
      <c r="J65" s="32">
        <v>76</v>
      </c>
      <c r="K65" s="33" t="s">
        <v>735</v>
      </c>
      <c r="L65" s="32">
        <v>13</v>
      </c>
      <c r="M65" s="32">
        <v>1</v>
      </c>
      <c r="N65" s="33" t="s">
        <v>32</v>
      </c>
      <c r="O65" s="33" t="s">
        <v>33</v>
      </c>
      <c r="P65" s="33" t="s">
        <v>34</v>
      </c>
      <c r="Q65" s="33" t="s">
        <v>156</v>
      </c>
      <c r="S65" s="33" t="s">
        <v>736</v>
      </c>
      <c r="T65" s="35">
        <v>350</v>
      </c>
      <c r="U65" s="33" t="s">
        <v>36</v>
      </c>
      <c r="V65" s="33" t="s">
        <v>737</v>
      </c>
      <c r="W65" s="32">
        <v>1738679262</v>
      </c>
      <c r="Z65" s="72">
        <v>3</v>
      </c>
      <c r="AA65"/>
    </row>
    <row r="66" spans="1:27" x14ac:dyDescent="0.25">
      <c r="A66" s="2">
        <v>86</v>
      </c>
      <c r="B66" t="s">
        <v>745</v>
      </c>
      <c r="C66" t="s">
        <v>746</v>
      </c>
      <c r="D66" t="s">
        <v>747</v>
      </c>
      <c r="E66" t="s">
        <v>748</v>
      </c>
      <c r="G66" t="s">
        <v>732</v>
      </c>
      <c r="H66" t="s">
        <v>733</v>
      </c>
      <c r="I66" t="s">
        <v>749</v>
      </c>
      <c r="J66" s="2">
        <v>16</v>
      </c>
      <c r="K66" t="s">
        <v>750</v>
      </c>
      <c r="L66" s="2">
        <v>5</v>
      </c>
      <c r="M66" s="2">
        <v>1</v>
      </c>
      <c r="N66" t="s">
        <v>32</v>
      </c>
      <c r="O66" t="s">
        <v>121</v>
      </c>
      <c r="P66" t="s">
        <v>34</v>
      </c>
      <c r="Q66" t="s">
        <v>156</v>
      </c>
      <c r="S66" t="s">
        <v>751</v>
      </c>
      <c r="T66" s="3">
        <v>150</v>
      </c>
      <c r="U66" t="s">
        <v>36</v>
      </c>
      <c r="V66" t="s">
        <v>752</v>
      </c>
      <c r="W66" s="2">
        <v>1738757255</v>
      </c>
      <c r="Z66" s="72">
        <v>4</v>
      </c>
    </row>
    <row r="67" spans="1:27" s="23" customFormat="1" x14ac:dyDescent="0.25">
      <c r="A67" s="2">
        <v>87</v>
      </c>
      <c r="B67" t="s">
        <v>753</v>
      </c>
      <c r="C67" t="s">
        <v>754</v>
      </c>
      <c r="D67" t="s">
        <v>755</v>
      </c>
      <c r="E67" t="s">
        <v>756</v>
      </c>
      <c r="F67"/>
      <c r="G67" t="s">
        <v>732</v>
      </c>
      <c r="H67" t="s">
        <v>733</v>
      </c>
      <c r="I67" t="s">
        <v>757</v>
      </c>
      <c r="J67" s="2">
        <v>222</v>
      </c>
      <c r="K67" t="s">
        <v>758</v>
      </c>
      <c r="L67" s="2">
        <v>13</v>
      </c>
      <c r="M67" s="2">
        <v>2</v>
      </c>
      <c r="N67" t="s">
        <v>32</v>
      </c>
      <c r="O67" t="s">
        <v>155</v>
      </c>
      <c r="P67" t="s">
        <v>34</v>
      </c>
      <c r="Q67" t="s">
        <v>156</v>
      </c>
      <c r="R67"/>
      <c r="S67" t="s">
        <v>759</v>
      </c>
      <c r="T67" s="3">
        <v>375</v>
      </c>
      <c r="U67" t="s">
        <v>36</v>
      </c>
      <c r="V67" t="s">
        <v>760</v>
      </c>
      <c r="W67" s="2">
        <v>1738757884</v>
      </c>
      <c r="X67"/>
      <c r="Y67"/>
      <c r="Z67" s="72">
        <v>4</v>
      </c>
      <c r="AA67"/>
    </row>
    <row r="68" spans="1:27" x14ac:dyDescent="0.25">
      <c r="A68" s="2">
        <v>88</v>
      </c>
      <c r="B68" t="s">
        <v>761</v>
      </c>
      <c r="C68" t="s">
        <v>762</v>
      </c>
      <c r="D68" t="s">
        <v>763</v>
      </c>
      <c r="E68" t="s">
        <v>764</v>
      </c>
      <c r="G68" t="s">
        <v>732</v>
      </c>
      <c r="H68" t="s">
        <v>733</v>
      </c>
      <c r="I68" t="s">
        <v>765</v>
      </c>
      <c r="J68" s="2">
        <v>882</v>
      </c>
      <c r="K68" t="s">
        <v>758</v>
      </c>
      <c r="L68" s="2">
        <v>15</v>
      </c>
      <c r="M68" s="2">
        <v>2</v>
      </c>
      <c r="N68" t="s">
        <v>32</v>
      </c>
      <c r="O68" t="s">
        <v>155</v>
      </c>
      <c r="P68" t="s">
        <v>34</v>
      </c>
      <c r="Q68" t="s">
        <v>156</v>
      </c>
      <c r="S68" t="s">
        <v>766</v>
      </c>
      <c r="T68" s="3">
        <v>425</v>
      </c>
      <c r="U68" t="s">
        <v>36</v>
      </c>
      <c r="V68" t="s">
        <v>767</v>
      </c>
      <c r="W68" s="2">
        <v>1738758064</v>
      </c>
      <c r="Z68" s="72">
        <v>4</v>
      </c>
    </row>
    <row r="69" spans="1:27" s="23" customFormat="1" x14ac:dyDescent="0.25">
      <c r="A69" s="2">
        <v>89</v>
      </c>
      <c r="B69" t="s">
        <v>768</v>
      </c>
      <c r="C69" t="s">
        <v>769</v>
      </c>
      <c r="D69" t="s">
        <v>770</v>
      </c>
      <c r="E69" t="s">
        <v>771</v>
      </c>
      <c r="F69"/>
      <c r="G69" t="s">
        <v>732</v>
      </c>
      <c r="H69" t="s">
        <v>733</v>
      </c>
      <c r="I69" t="s">
        <v>772</v>
      </c>
      <c r="J69" s="2">
        <v>32</v>
      </c>
      <c r="K69" t="s">
        <v>773</v>
      </c>
      <c r="L69" s="2">
        <v>8</v>
      </c>
      <c r="M69" s="2">
        <v>2</v>
      </c>
      <c r="N69" t="s">
        <v>32</v>
      </c>
      <c r="O69" t="s">
        <v>155</v>
      </c>
      <c r="P69" t="s">
        <v>34</v>
      </c>
      <c r="Q69" t="s">
        <v>156</v>
      </c>
      <c r="R69"/>
      <c r="S69" t="s">
        <v>774</v>
      </c>
      <c r="T69" s="3">
        <v>250</v>
      </c>
      <c r="U69" t="s">
        <v>36</v>
      </c>
      <c r="V69" t="s">
        <v>775</v>
      </c>
      <c r="W69" s="2">
        <v>1738758751</v>
      </c>
      <c r="X69"/>
      <c r="Y69"/>
      <c r="Z69" s="72">
        <v>4</v>
      </c>
      <c r="AA69"/>
    </row>
    <row r="70" spans="1:27" x14ac:dyDescent="0.25">
      <c r="A70" s="2">
        <v>90</v>
      </c>
      <c r="B70" t="s">
        <v>776</v>
      </c>
      <c r="C70" t="s">
        <v>777</v>
      </c>
      <c r="D70" t="s">
        <v>778</v>
      </c>
      <c r="E70" t="s">
        <v>779</v>
      </c>
      <c r="G70" t="s">
        <v>732</v>
      </c>
      <c r="H70" t="s">
        <v>733</v>
      </c>
      <c r="I70" t="s">
        <v>780</v>
      </c>
      <c r="J70" s="2">
        <v>13</v>
      </c>
      <c r="K70" t="s">
        <v>781</v>
      </c>
      <c r="L70" s="2">
        <v>15</v>
      </c>
      <c r="M70" s="2">
        <v>2</v>
      </c>
      <c r="N70" t="s">
        <v>32</v>
      </c>
      <c r="O70" t="s">
        <v>155</v>
      </c>
      <c r="P70" t="s">
        <v>34</v>
      </c>
      <c r="Q70" t="s">
        <v>156</v>
      </c>
      <c r="S70" t="s">
        <v>782</v>
      </c>
      <c r="T70" s="3">
        <v>425</v>
      </c>
      <c r="U70" t="s">
        <v>36</v>
      </c>
      <c r="V70" t="s">
        <v>783</v>
      </c>
      <c r="W70" s="2">
        <v>1738758914</v>
      </c>
      <c r="Z70" s="72">
        <v>3</v>
      </c>
    </row>
    <row r="71" spans="1:27" x14ac:dyDescent="0.25">
      <c r="A71" s="2">
        <v>91</v>
      </c>
      <c r="B71" t="s">
        <v>784</v>
      </c>
      <c r="C71" t="s">
        <v>785</v>
      </c>
      <c r="D71" t="s">
        <v>786</v>
      </c>
      <c r="E71" t="s">
        <v>787</v>
      </c>
      <c r="G71" t="s">
        <v>732</v>
      </c>
      <c r="H71" t="s">
        <v>733</v>
      </c>
      <c r="I71" t="s">
        <v>788</v>
      </c>
      <c r="J71" s="2">
        <v>13</v>
      </c>
      <c r="K71" t="s">
        <v>781</v>
      </c>
      <c r="L71" s="2">
        <v>14</v>
      </c>
      <c r="M71" s="2">
        <v>2</v>
      </c>
      <c r="N71" t="s">
        <v>32</v>
      </c>
      <c r="O71" t="s">
        <v>121</v>
      </c>
      <c r="P71" t="s">
        <v>34</v>
      </c>
      <c r="Q71" t="s">
        <v>156</v>
      </c>
      <c r="S71" t="s">
        <v>789</v>
      </c>
      <c r="T71" s="3">
        <v>400</v>
      </c>
      <c r="U71" t="s">
        <v>36</v>
      </c>
      <c r="V71" t="s">
        <v>790</v>
      </c>
      <c r="W71" s="2">
        <v>1738759050</v>
      </c>
      <c r="Z71" s="72">
        <v>3</v>
      </c>
    </row>
    <row r="72" spans="1:27" s="23" customFormat="1" x14ac:dyDescent="0.25">
      <c r="A72" s="28">
        <v>92</v>
      </c>
      <c r="B72" s="29" t="s">
        <v>791</v>
      </c>
      <c r="C72" s="29" t="s">
        <v>792</v>
      </c>
      <c r="D72" s="29" t="s">
        <v>793</v>
      </c>
      <c r="E72" s="29" t="s">
        <v>794</v>
      </c>
      <c r="F72" s="29"/>
      <c r="G72" s="29" t="s">
        <v>732</v>
      </c>
      <c r="H72" s="29" t="s">
        <v>733</v>
      </c>
      <c r="I72" s="29" t="s">
        <v>795</v>
      </c>
      <c r="J72" s="28">
        <v>347</v>
      </c>
      <c r="K72" s="29" t="s">
        <v>796</v>
      </c>
      <c r="L72" s="28">
        <v>12</v>
      </c>
      <c r="M72" s="28">
        <v>2</v>
      </c>
      <c r="N72" s="29" t="s">
        <v>32</v>
      </c>
      <c r="O72" s="29" t="s">
        <v>121</v>
      </c>
      <c r="P72" s="29" t="s">
        <v>34</v>
      </c>
      <c r="Q72" s="29" t="s">
        <v>156</v>
      </c>
      <c r="R72" s="30" t="s">
        <v>797</v>
      </c>
      <c r="S72" s="29" t="s">
        <v>798</v>
      </c>
      <c r="T72" s="31">
        <v>350</v>
      </c>
      <c r="U72" s="29" t="s">
        <v>36</v>
      </c>
      <c r="V72" s="29" t="s">
        <v>799</v>
      </c>
      <c r="W72" s="28">
        <v>1738759194</v>
      </c>
      <c r="X72" s="29"/>
      <c r="Y72" s="29"/>
      <c r="Z72" s="72">
        <v>1</v>
      </c>
      <c r="AA72"/>
    </row>
    <row r="73" spans="1:27" x14ac:dyDescent="0.25">
      <c r="A73" s="32">
        <v>93</v>
      </c>
      <c r="B73" s="33" t="s">
        <v>800</v>
      </c>
      <c r="C73" s="33" t="s">
        <v>801</v>
      </c>
      <c r="D73" s="33" t="s">
        <v>802</v>
      </c>
      <c r="E73" s="33" t="s">
        <v>803</v>
      </c>
      <c r="F73" s="33"/>
      <c r="G73" s="33" t="s">
        <v>732</v>
      </c>
      <c r="H73" s="33" t="s">
        <v>733</v>
      </c>
      <c r="I73" s="33" t="s">
        <v>804</v>
      </c>
      <c r="J73" s="32">
        <v>71</v>
      </c>
      <c r="K73" s="33" t="s">
        <v>805</v>
      </c>
      <c r="L73" s="32">
        <v>8</v>
      </c>
      <c r="M73" s="32">
        <v>1</v>
      </c>
      <c r="N73" s="33" t="s">
        <v>32</v>
      </c>
      <c r="O73" s="33" t="s">
        <v>121</v>
      </c>
      <c r="P73" s="33" t="s">
        <v>34</v>
      </c>
      <c r="Q73" s="33" t="s">
        <v>156</v>
      </c>
      <c r="R73" s="34" t="s">
        <v>806</v>
      </c>
      <c r="S73" s="33" t="s">
        <v>807</v>
      </c>
      <c r="T73" s="35">
        <v>225</v>
      </c>
      <c r="U73" s="33" t="s">
        <v>36</v>
      </c>
      <c r="V73" s="33" t="s">
        <v>808</v>
      </c>
      <c r="W73" s="32">
        <v>1738764426</v>
      </c>
      <c r="X73" s="33"/>
      <c r="Y73" s="33"/>
      <c r="Z73" s="72">
        <v>3</v>
      </c>
    </row>
    <row r="74" spans="1:27" s="23" customFormat="1" x14ac:dyDescent="0.25">
      <c r="A74" s="32">
        <v>94</v>
      </c>
      <c r="B74" s="33" t="s">
        <v>809</v>
      </c>
      <c r="C74" s="33" t="s">
        <v>810</v>
      </c>
      <c r="D74" s="33" t="s">
        <v>811</v>
      </c>
      <c r="E74" s="33" t="s">
        <v>812</v>
      </c>
      <c r="F74" s="33"/>
      <c r="G74" s="33" t="s">
        <v>732</v>
      </c>
      <c r="H74" s="33" t="s">
        <v>733</v>
      </c>
      <c r="I74" s="33" t="s">
        <v>813</v>
      </c>
      <c r="J74" s="32">
        <v>71</v>
      </c>
      <c r="K74" s="33" t="s">
        <v>805</v>
      </c>
      <c r="L74" s="32">
        <v>7</v>
      </c>
      <c r="M74" s="32">
        <v>2</v>
      </c>
      <c r="N74" s="33" t="s">
        <v>32</v>
      </c>
      <c r="O74" s="33" t="s">
        <v>33</v>
      </c>
      <c r="P74" s="33" t="s">
        <v>34</v>
      </c>
      <c r="Q74" s="33" t="s">
        <v>156</v>
      </c>
      <c r="R74" s="34" t="s">
        <v>814</v>
      </c>
      <c r="S74" s="33" t="s">
        <v>815</v>
      </c>
      <c r="T74" s="35">
        <v>225</v>
      </c>
      <c r="U74" s="33" t="s">
        <v>36</v>
      </c>
      <c r="V74" s="33" t="s">
        <v>816</v>
      </c>
      <c r="W74" s="32">
        <v>1738764887</v>
      </c>
      <c r="X74" s="33"/>
      <c r="Y74" s="33"/>
      <c r="Z74" s="72">
        <v>3</v>
      </c>
      <c r="AA74"/>
    </row>
    <row r="75" spans="1:27" s="33" customFormat="1" x14ac:dyDescent="0.25">
      <c r="A75" s="32">
        <v>95</v>
      </c>
      <c r="B75" s="33" t="s">
        <v>817</v>
      </c>
      <c r="C75" s="33" t="s">
        <v>818</v>
      </c>
      <c r="D75" s="33" t="s">
        <v>819</v>
      </c>
      <c r="E75" s="33" t="s">
        <v>820</v>
      </c>
      <c r="G75" s="33" t="s">
        <v>732</v>
      </c>
      <c r="H75" s="33" t="s">
        <v>733</v>
      </c>
      <c r="I75" s="33" t="s">
        <v>821</v>
      </c>
      <c r="J75" s="32">
        <v>98</v>
      </c>
      <c r="K75" s="33" t="s">
        <v>805</v>
      </c>
      <c r="L75" s="32">
        <v>7</v>
      </c>
      <c r="M75" s="32">
        <v>1</v>
      </c>
      <c r="N75" s="33" t="s">
        <v>32</v>
      </c>
      <c r="O75" s="33" t="s">
        <v>33</v>
      </c>
      <c r="P75" s="33" t="s">
        <v>34</v>
      </c>
      <c r="Q75" s="33" t="s">
        <v>156</v>
      </c>
      <c r="R75" s="34" t="s">
        <v>822</v>
      </c>
      <c r="S75" s="33" t="s">
        <v>823</v>
      </c>
      <c r="T75" s="35">
        <v>200</v>
      </c>
      <c r="U75" s="33" t="s">
        <v>36</v>
      </c>
      <c r="V75" s="33" t="s">
        <v>824</v>
      </c>
      <c r="W75" s="32">
        <v>1738765158</v>
      </c>
      <c r="Z75" s="72">
        <v>3</v>
      </c>
      <c r="AA75"/>
    </row>
    <row r="76" spans="1:27" s="23" customFormat="1" x14ac:dyDescent="0.25">
      <c r="A76" s="36">
        <v>96</v>
      </c>
      <c r="B76" s="37" t="s">
        <v>825</v>
      </c>
      <c r="C76" s="37" t="s">
        <v>826</v>
      </c>
      <c r="D76" s="37" t="s">
        <v>827</v>
      </c>
      <c r="E76" s="37" t="s">
        <v>828</v>
      </c>
      <c r="F76" s="37"/>
      <c r="G76" s="37" t="s">
        <v>732</v>
      </c>
      <c r="H76" s="37" t="s">
        <v>733</v>
      </c>
      <c r="I76" s="37" t="s">
        <v>829</v>
      </c>
      <c r="J76" s="36">
        <v>1</v>
      </c>
      <c r="K76" s="37" t="s">
        <v>830</v>
      </c>
      <c r="L76" s="36">
        <v>13</v>
      </c>
      <c r="M76" s="36">
        <v>2</v>
      </c>
      <c r="N76" s="37" t="s">
        <v>32</v>
      </c>
      <c r="O76" s="37" t="s">
        <v>121</v>
      </c>
      <c r="P76" s="37" t="s">
        <v>34</v>
      </c>
      <c r="Q76" s="37" t="s">
        <v>156</v>
      </c>
      <c r="R76" s="38" t="s">
        <v>831</v>
      </c>
      <c r="S76" s="37" t="s">
        <v>832</v>
      </c>
      <c r="T76" s="39">
        <v>375</v>
      </c>
      <c r="U76" s="37" t="s">
        <v>36</v>
      </c>
      <c r="V76" s="37" t="s">
        <v>833</v>
      </c>
      <c r="W76" s="36">
        <v>1738765313</v>
      </c>
      <c r="X76" s="37"/>
      <c r="Y76" s="37"/>
      <c r="Z76" s="72">
        <v>2</v>
      </c>
      <c r="AA76"/>
    </row>
    <row r="77" spans="1:27" s="23" customFormat="1" x14ac:dyDescent="0.25">
      <c r="A77" s="36">
        <v>97</v>
      </c>
      <c r="B77" s="37" t="s">
        <v>834</v>
      </c>
      <c r="C77" s="37" t="s">
        <v>835</v>
      </c>
      <c r="D77" s="37" t="s">
        <v>836</v>
      </c>
      <c r="E77" s="37" t="s">
        <v>828</v>
      </c>
      <c r="F77" s="37"/>
      <c r="G77" s="37" t="s">
        <v>732</v>
      </c>
      <c r="H77" s="37" t="s">
        <v>733</v>
      </c>
      <c r="I77" s="37" t="s">
        <v>837</v>
      </c>
      <c r="J77" s="36">
        <v>2</v>
      </c>
      <c r="K77" s="37" t="s">
        <v>830</v>
      </c>
      <c r="L77" s="36">
        <v>13</v>
      </c>
      <c r="M77" s="36">
        <v>2</v>
      </c>
      <c r="N77" s="37" t="s">
        <v>32</v>
      </c>
      <c r="O77" s="37" t="s">
        <v>121</v>
      </c>
      <c r="P77" s="37" t="s">
        <v>34</v>
      </c>
      <c r="Q77" s="37" t="s">
        <v>156</v>
      </c>
      <c r="R77" s="38" t="s">
        <v>831</v>
      </c>
      <c r="S77" s="37" t="s">
        <v>838</v>
      </c>
      <c r="T77" s="39">
        <v>375</v>
      </c>
      <c r="U77" s="37" t="s">
        <v>36</v>
      </c>
      <c r="V77" s="37" t="s">
        <v>839</v>
      </c>
      <c r="W77" s="36">
        <v>1738765533</v>
      </c>
      <c r="X77" s="37"/>
      <c r="Y77" s="37"/>
      <c r="Z77" s="72">
        <v>2</v>
      </c>
      <c r="AA77"/>
    </row>
    <row r="78" spans="1:27" x14ac:dyDescent="0.25">
      <c r="A78" s="2">
        <v>98</v>
      </c>
      <c r="B78" t="s">
        <v>840</v>
      </c>
      <c r="C78" t="s">
        <v>841</v>
      </c>
      <c r="D78" t="s">
        <v>842</v>
      </c>
      <c r="E78" t="s">
        <v>843</v>
      </c>
      <c r="G78" t="s">
        <v>732</v>
      </c>
      <c r="H78" t="s">
        <v>733</v>
      </c>
      <c r="I78" t="s">
        <v>844</v>
      </c>
      <c r="J78" s="2">
        <v>30</v>
      </c>
      <c r="K78" t="s">
        <v>845</v>
      </c>
      <c r="L78" s="2">
        <v>7</v>
      </c>
      <c r="M78" s="2">
        <v>1</v>
      </c>
      <c r="N78" t="s">
        <v>32</v>
      </c>
      <c r="O78" t="s">
        <v>121</v>
      </c>
      <c r="P78" t="s">
        <v>34</v>
      </c>
      <c r="Q78" t="s">
        <v>156</v>
      </c>
      <c r="S78" t="s">
        <v>846</v>
      </c>
      <c r="T78" s="3">
        <v>200</v>
      </c>
      <c r="U78" t="s">
        <v>36</v>
      </c>
      <c r="V78" t="s">
        <v>847</v>
      </c>
      <c r="W78" s="2">
        <v>1738765842</v>
      </c>
      <c r="Z78" s="72">
        <v>2</v>
      </c>
    </row>
    <row r="79" spans="1:27" x14ac:dyDescent="0.25">
      <c r="A79" s="2">
        <v>99</v>
      </c>
      <c r="B79" t="s">
        <v>848</v>
      </c>
      <c r="C79" t="s">
        <v>849</v>
      </c>
      <c r="D79" t="s">
        <v>850</v>
      </c>
      <c r="E79" t="s">
        <v>851</v>
      </c>
      <c r="G79" t="s">
        <v>732</v>
      </c>
      <c r="H79" t="s">
        <v>733</v>
      </c>
      <c r="I79" t="s">
        <v>852</v>
      </c>
      <c r="J79" s="2">
        <v>424</v>
      </c>
      <c r="K79" t="s">
        <v>853</v>
      </c>
      <c r="L79" s="2">
        <v>13</v>
      </c>
      <c r="M79" s="2">
        <v>2</v>
      </c>
      <c r="N79" t="s">
        <v>32</v>
      </c>
      <c r="O79" t="s">
        <v>155</v>
      </c>
      <c r="P79" t="s">
        <v>34</v>
      </c>
      <c r="Q79" t="s">
        <v>156</v>
      </c>
      <c r="S79" t="s">
        <v>854</v>
      </c>
      <c r="T79" s="3">
        <v>375</v>
      </c>
      <c r="U79" t="s">
        <v>36</v>
      </c>
      <c r="V79" t="s">
        <v>855</v>
      </c>
      <c r="W79" s="2">
        <v>1738769607</v>
      </c>
      <c r="Z79" s="72">
        <v>2</v>
      </c>
    </row>
    <row r="80" spans="1:27" x14ac:dyDescent="0.25">
      <c r="A80" s="2">
        <v>107</v>
      </c>
      <c r="B80" t="s">
        <v>745</v>
      </c>
      <c r="C80" t="s">
        <v>917</v>
      </c>
      <c r="D80" s="7" t="s">
        <v>918</v>
      </c>
      <c r="E80" t="s">
        <v>919</v>
      </c>
      <c r="F80" s="8" t="s">
        <v>920</v>
      </c>
      <c r="G80" t="s">
        <v>732</v>
      </c>
      <c r="H80" t="s">
        <v>733</v>
      </c>
      <c r="I80" s="8" t="s">
        <v>920</v>
      </c>
      <c r="J80" s="2">
        <v>58</v>
      </c>
      <c r="K80" t="s">
        <v>758</v>
      </c>
      <c r="L80" s="2">
        <v>14</v>
      </c>
      <c r="M80" s="2">
        <v>2</v>
      </c>
      <c r="N80" t="s">
        <v>32</v>
      </c>
      <c r="O80" t="s">
        <v>155</v>
      </c>
      <c r="P80" t="s">
        <v>34</v>
      </c>
      <c r="Q80" t="s">
        <v>156</v>
      </c>
      <c r="S80" t="s">
        <v>921</v>
      </c>
      <c r="T80" s="3">
        <v>375</v>
      </c>
      <c r="U80" t="s">
        <v>36</v>
      </c>
      <c r="V80" t="s">
        <v>922</v>
      </c>
      <c r="W80" s="2">
        <v>1739741266</v>
      </c>
      <c r="X80" s="10" t="s">
        <v>923</v>
      </c>
      <c r="Z80" s="72">
        <v>3</v>
      </c>
    </row>
    <row r="81" spans="1:27" s="17" customFormat="1" x14ac:dyDescent="0.25">
      <c r="A81" s="2">
        <v>108</v>
      </c>
      <c r="B81" t="s">
        <v>825</v>
      </c>
      <c r="C81" t="s">
        <v>924</v>
      </c>
      <c r="D81" t="s">
        <v>925</v>
      </c>
      <c r="E81" t="s">
        <v>926</v>
      </c>
      <c r="F81"/>
      <c r="G81" t="s">
        <v>732</v>
      </c>
      <c r="H81" t="s">
        <v>733</v>
      </c>
      <c r="I81" t="s">
        <v>927</v>
      </c>
      <c r="J81" s="2">
        <v>420</v>
      </c>
      <c r="K81" t="s">
        <v>845</v>
      </c>
      <c r="L81" s="2">
        <v>8</v>
      </c>
      <c r="M81" s="2">
        <v>2</v>
      </c>
      <c r="N81" t="s">
        <v>32</v>
      </c>
      <c r="O81" t="s">
        <v>155</v>
      </c>
      <c r="P81" t="s">
        <v>34</v>
      </c>
      <c r="Q81" t="s">
        <v>156</v>
      </c>
      <c r="R81"/>
      <c r="S81" t="s">
        <v>928</v>
      </c>
      <c r="T81" s="3">
        <v>250</v>
      </c>
      <c r="U81" t="s">
        <v>36</v>
      </c>
      <c r="V81" t="s">
        <v>929</v>
      </c>
      <c r="W81" s="2">
        <v>1739741847</v>
      </c>
      <c r="X81"/>
      <c r="Y81"/>
      <c r="Z81" s="72">
        <v>2</v>
      </c>
      <c r="AA81"/>
    </row>
    <row r="82" spans="1:27" x14ac:dyDescent="0.25">
      <c r="A82" s="2">
        <v>109</v>
      </c>
      <c r="B82" t="s">
        <v>930</v>
      </c>
      <c r="C82" t="s">
        <v>931</v>
      </c>
      <c r="D82" t="s">
        <v>932</v>
      </c>
      <c r="E82" t="s">
        <v>933</v>
      </c>
      <c r="G82" t="s">
        <v>732</v>
      </c>
      <c r="H82" t="s">
        <v>733</v>
      </c>
      <c r="I82" t="s">
        <v>934</v>
      </c>
      <c r="J82" s="2">
        <v>96</v>
      </c>
      <c r="K82" t="s">
        <v>758</v>
      </c>
      <c r="L82" s="2">
        <v>14</v>
      </c>
      <c r="M82" s="2">
        <v>2</v>
      </c>
      <c r="N82" t="s">
        <v>32</v>
      </c>
      <c r="O82" t="s">
        <v>33</v>
      </c>
      <c r="P82" t="s">
        <v>34</v>
      </c>
      <c r="Q82" t="s">
        <v>156</v>
      </c>
      <c r="S82" t="s">
        <v>935</v>
      </c>
      <c r="T82" s="3">
        <v>400</v>
      </c>
      <c r="U82" t="s">
        <v>36</v>
      </c>
      <c r="V82" t="s">
        <v>936</v>
      </c>
      <c r="W82" s="2">
        <v>1739742099</v>
      </c>
      <c r="Z82" s="72">
        <v>2</v>
      </c>
    </row>
    <row r="83" spans="1:27" x14ac:dyDescent="0.25">
      <c r="A83" s="2">
        <v>110</v>
      </c>
      <c r="B83" t="s">
        <v>937</v>
      </c>
      <c r="C83" t="s">
        <v>938</v>
      </c>
      <c r="D83" t="s">
        <v>939</v>
      </c>
      <c r="E83" t="s">
        <v>940</v>
      </c>
      <c r="G83" t="s">
        <v>732</v>
      </c>
      <c r="H83" t="s">
        <v>733</v>
      </c>
      <c r="I83" t="s">
        <v>941</v>
      </c>
      <c r="J83" s="2">
        <v>7</v>
      </c>
      <c r="K83" t="s">
        <v>942</v>
      </c>
      <c r="L83" s="2">
        <v>15</v>
      </c>
      <c r="M83" s="2">
        <v>2</v>
      </c>
      <c r="N83" t="s">
        <v>32</v>
      </c>
      <c r="O83" t="s">
        <v>121</v>
      </c>
      <c r="P83" t="s">
        <v>34</v>
      </c>
      <c r="Q83" t="s">
        <v>156</v>
      </c>
      <c r="S83" t="s">
        <v>943</v>
      </c>
      <c r="T83" s="3">
        <v>425</v>
      </c>
      <c r="U83" t="s">
        <v>36</v>
      </c>
      <c r="V83" t="s">
        <v>944</v>
      </c>
      <c r="W83" s="2">
        <v>1739742260</v>
      </c>
      <c r="Z83" s="72">
        <v>1</v>
      </c>
    </row>
    <row r="84" spans="1:27" x14ac:dyDescent="0.25">
      <c r="A84" s="2">
        <v>114</v>
      </c>
      <c r="B84" t="s">
        <v>963</v>
      </c>
      <c r="C84" s="9" t="s">
        <v>964</v>
      </c>
      <c r="D84" s="7" t="s">
        <v>965</v>
      </c>
      <c r="E84" t="s">
        <v>940</v>
      </c>
      <c r="G84" t="s">
        <v>732</v>
      </c>
      <c r="H84" t="s">
        <v>733</v>
      </c>
      <c r="I84" s="8" t="s">
        <v>966</v>
      </c>
      <c r="J84" s="2">
        <v>19</v>
      </c>
      <c r="K84" t="s">
        <v>967</v>
      </c>
      <c r="L84" s="2">
        <v>15</v>
      </c>
      <c r="M84" s="2">
        <v>2</v>
      </c>
      <c r="N84" t="s">
        <v>32</v>
      </c>
      <c r="O84" t="s">
        <v>121</v>
      </c>
      <c r="P84" t="s">
        <v>34</v>
      </c>
      <c r="Q84" t="s">
        <v>156</v>
      </c>
      <c r="S84" t="s">
        <v>968</v>
      </c>
      <c r="T84" s="3">
        <v>425</v>
      </c>
      <c r="U84" t="s">
        <v>36</v>
      </c>
      <c r="V84" t="s">
        <v>969</v>
      </c>
      <c r="W84" s="2">
        <v>1740335420</v>
      </c>
      <c r="Z84" s="72">
        <v>1</v>
      </c>
    </row>
    <row r="85" spans="1:27" x14ac:dyDescent="0.25">
      <c r="A85" s="42">
        <v>115</v>
      </c>
      <c r="B85" s="43" t="s">
        <v>970</v>
      </c>
      <c r="C85" s="44" t="s">
        <v>971</v>
      </c>
      <c r="D85" s="45" t="s">
        <v>972</v>
      </c>
      <c r="E85" s="43" t="s">
        <v>973</v>
      </c>
      <c r="F85" s="43"/>
      <c r="G85" s="43" t="s">
        <v>732</v>
      </c>
      <c r="H85" s="43" t="s">
        <v>733</v>
      </c>
      <c r="I85" s="45" t="s">
        <v>974</v>
      </c>
      <c r="J85" s="42">
        <v>2</v>
      </c>
      <c r="K85" s="43" t="s">
        <v>975</v>
      </c>
      <c r="L85" s="42">
        <v>15</v>
      </c>
      <c r="M85" s="42">
        <v>2</v>
      </c>
      <c r="N85" s="43" t="s">
        <v>32</v>
      </c>
      <c r="O85" s="43" t="s">
        <v>156</v>
      </c>
      <c r="P85" s="43" t="s">
        <v>34</v>
      </c>
      <c r="Q85" s="43" t="s">
        <v>156</v>
      </c>
      <c r="R85" s="46" t="s">
        <v>976</v>
      </c>
      <c r="S85" s="43" t="s">
        <v>977</v>
      </c>
      <c r="T85" s="47">
        <v>400</v>
      </c>
      <c r="U85" s="43" t="s">
        <v>36</v>
      </c>
      <c r="V85" s="43" t="s">
        <v>978</v>
      </c>
      <c r="W85" s="42">
        <v>1740335670</v>
      </c>
      <c r="X85" s="43" t="s">
        <v>923</v>
      </c>
      <c r="Y85" s="43"/>
      <c r="Z85" s="72">
        <v>2</v>
      </c>
    </row>
    <row r="86" spans="1:27" x14ac:dyDescent="0.25">
      <c r="A86" s="2">
        <v>116</v>
      </c>
      <c r="B86" t="s">
        <v>979</v>
      </c>
      <c r="C86" t="s">
        <v>980</v>
      </c>
      <c r="D86" t="s">
        <v>981</v>
      </c>
      <c r="E86" t="s">
        <v>982</v>
      </c>
      <c r="G86" t="s">
        <v>732</v>
      </c>
      <c r="H86" t="s">
        <v>733</v>
      </c>
      <c r="I86" t="s">
        <v>983</v>
      </c>
      <c r="J86" s="2">
        <v>9</v>
      </c>
      <c r="K86" t="s">
        <v>750</v>
      </c>
      <c r="L86" s="2">
        <v>10</v>
      </c>
      <c r="M86" s="2">
        <v>2</v>
      </c>
      <c r="N86" t="s">
        <v>32</v>
      </c>
      <c r="O86" t="s">
        <v>155</v>
      </c>
      <c r="P86" t="s">
        <v>34</v>
      </c>
      <c r="Q86" t="s">
        <v>156</v>
      </c>
      <c r="S86" t="s">
        <v>984</v>
      </c>
      <c r="T86" s="3">
        <v>300</v>
      </c>
      <c r="U86" t="s">
        <v>36</v>
      </c>
      <c r="V86" t="s">
        <v>985</v>
      </c>
      <c r="W86" s="2">
        <v>1740335913</v>
      </c>
      <c r="Z86" s="72">
        <v>2</v>
      </c>
    </row>
    <row r="87" spans="1:27" x14ac:dyDescent="0.25">
      <c r="A87" s="2">
        <v>117</v>
      </c>
      <c r="B87" t="s">
        <v>986</v>
      </c>
      <c r="C87" t="s">
        <v>987</v>
      </c>
      <c r="D87" t="s">
        <v>988</v>
      </c>
      <c r="E87" t="s">
        <v>989</v>
      </c>
      <c r="G87" t="s">
        <v>732</v>
      </c>
      <c r="H87" t="s">
        <v>733</v>
      </c>
      <c r="I87" t="s">
        <v>990</v>
      </c>
      <c r="J87" s="2">
        <v>9</v>
      </c>
      <c r="K87" t="s">
        <v>750</v>
      </c>
      <c r="L87" s="2">
        <v>5</v>
      </c>
      <c r="M87" s="2">
        <v>1</v>
      </c>
      <c r="N87" t="s">
        <v>32</v>
      </c>
      <c r="O87" t="s">
        <v>121</v>
      </c>
      <c r="P87" t="s">
        <v>34</v>
      </c>
      <c r="Q87" t="s">
        <v>156</v>
      </c>
      <c r="S87" t="s">
        <v>991</v>
      </c>
      <c r="T87" s="3">
        <v>150</v>
      </c>
      <c r="U87" t="s">
        <v>36</v>
      </c>
      <c r="V87" t="s">
        <v>992</v>
      </c>
      <c r="W87" s="2">
        <v>1740336295</v>
      </c>
      <c r="Z87" s="72">
        <v>2</v>
      </c>
    </row>
    <row r="88" spans="1:27" s="33" customFormat="1" x14ac:dyDescent="0.25">
      <c r="A88" s="32">
        <v>118</v>
      </c>
      <c r="B88" s="33" t="s">
        <v>993</v>
      </c>
      <c r="C88" s="33" t="s">
        <v>994</v>
      </c>
      <c r="D88" s="33" t="s">
        <v>995</v>
      </c>
      <c r="E88" s="33" t="s">
        <v>996</v>
      </c>
      <c r="G88" s="33" t="s">
        <v>732</v>
      </c>
      <c r="H88" s="33" t="s">
        <v>733</v>
      </c>
      <c r="I88" s="33" t="s">
        <v>997</v>
      </c>
      <c r="J88" s="32">
        <v>141</v>
      </c>
      <c r="K88" s="33" t="s">
        <v>805</v>
      </c>
      <c r="L88" s="32">
        <v>16</v>
      </c>
      <c r="M88" s="32">
        <v>1</v>
      </c>
      <c r="N88" s="33" t="s">
        <v>32</v>
      </c>
      <c r="O88" s="33" t="s">
        <v>121</v>
      </c>
      <c r="P88" s="33" t="s">
        <v>34</v>
      </c>
      <c r="Q88" s="33" t="s">
        <v>156</v>
      </c>
      <c r="R88" s="34" t="s">
        <v>998</v>
      </c>
      <c r="S88" s="33" t="s">
        <v>999</v>
      </c>
      <c r="T88" s="35">
        <v>425</v>
      </c>
      <c r="U88" s="33" t="s">
        <v>36</v>
      </c>
      <c r="V88" s="33" t="s">
        <v>1000</v>
      </c>
      <c r="W88" s="32">
        <v>1740336586</v>
      </c>
      <c r="Z88" s="72">
        <v>3</v>
      </c>
      <c r="AA88"/>
    </row>
    <row r="89" spans="1:27" x14ac:dyDescent="0.25">
      <c r="A89" s="42">
        <v>119</v>
      </c>
      <c r="B89" s="43" t="s">
        <v>1001</v>
      </c>
      <c r="C89" s="43" t="s">
        <v>1002</v>
      </c>
      <c r="D89" s="43" t="s">
        <v>1003</v>
      </c>
      <c r="E89" s="43" t="s">
        <v>1004</v>
      </c>
      <c r="F89" s="43"/>
      <c r="G89" s="43" t="s">
        <v>732</v>
      </c>
      <c r="H89" s="43" t="s">
        <v>733</v>
      </c>
      <c r="I89" s="43" t="s">
        <v>1005</v>
      </c>
      <c r="J89" s="42">
        <v>8</v>
      </c>
      <c r="K89" s="43" t="s">
        <v>1006</v>
      </c>
      <c r="L89" s="42">
        <v>15</v>
      </c>
      <c r="M89" s="42">
        <v>2</v>
      </c>
      <c r="N89" s="43" t="s">
        <v>32</v>
      </c>
      <c r="O89" s="43" t="s">
        <v>121</v>
      </c>
      <c r="P89" s="43" t="s">
        <v>34</v>
      </c>
      <c r="Q89" s="43" t="s">
        <v>156</v>
      </c>
      <c r="R89" s="43"/>
      <c r="S89" s="43" t="s">
        <v>1007</v>
      </c>
      <c r="T89" s="47">
        <v>425</v>
      </c>
      <c r="U89" s="43" t="s">
        <v>36</v>
      </c>
      <c r="V89" s="43" t="s">
        <v>1008</v>
      </c>
      <c r="W89" s="42">
        <v>1740336784</v>
      </c>
      <c r="X89" s="43"/>
      <c r="Y89" s="43"/>
      <c r="Z89" s="72">
        <v>2</v>
      </c>
    </row>
    <row r="90" spans="1:27" x14ac:dyDescent="0.25">
      <c r="A90" s="2">
        <v>120</v>
      </c>
      <c r="B90" t="s">
        <v>1009</v>
      </c>
      <c r="C90" t="s">
        <v>1010</v>
      </c>
      <c r="D90" t="s">
        <v>1011</v>
      </c>
      <c r="E90" t="s">
        <v>1012</v>
      </c>
      <c r="G90" t="s">
        <v>732</v>
      </c>
      <c r="H90" t="s">
        <v>733</v>
      </c>
      <c r="I90" t="s">
        <v>1013</v>
      </c>
      <c r="J90" s="2">
        <v>89</v>
      </c>
      <c r="K90" t="s">
        <v>1014</v>
      </c>
      <c r="L90" s="2">
        <v>15</v>
      </c>
      <c r="M90" s="2">
        <v>2</v>
      </c>
      <c r="N90" t="s">
        <v>32</v>
      </c>
      <c r="O90" t="s">
        <v>121</v>
      </c>
      <c r="P90" t="s">
        <v>34</v>
      </c>
      <c r="Q90" t="s">
        <v>156</v>
      </c>
      <c r="S90" t="s">
        <v>1015</v>
      </c>
      <c r="T90" s="3">
        <v>425</v>
      </c>
      <c r="U90" t="s">
        <v>36</v>
      </c>
      <c r="V90" t="s">
        <v>1016</v>
      </c>
      <c r="W90" s="2">
        <v>1740338815</v>
      </c>
      <c r="Z90" s="72">
        <v>1</v>
      </c>
    </row>
    <row r="91" spans="1:27" x14ac:dyDescent="0.25">
      <c r="A91" s="28">
        <v>121</v>
      </c>
      <c r="B91" s="29" t="s">
        <v>1017</v>
      </c>
      <c r="C91" s="29" t="s">
        <v>792</v>
      </c>
      <c r="D91" s="29" t="s">
        <v>1018</v>
      </c>
      <c r="E91" s="29" t="s">
        <v>1019</v>
      </c>
      <c r="F91" s="29"/>
      <c r="G91" s="29" t="s">
        <v>732</v>
      </c>
      <c r="H91" s="29" t="s">
        <v>733</v>
      </c>
      <c r="I91" s="29" t="s">
        <v>1020</v>
      </c>
      <c r="J91" s="28">
        <v>25</v>
      </c>
      <c r="K91" s="29" t="s">
        <v>1021</v>
      </c>
      <c r="L91" s="28">
        <v>11</v>
      </c>
      <c r="M91" s="28">
        <v>1</v>
      </c>
      <c r="N91" s="29" t="s">
        <v>32</v>
      </c>
      <c r="O91" s="29" t="s">
        <v>155</v>
      </c>
      <c r="P91" s="29" t="s">
        <v>34</v>
      </c>
      <c r="Q91" s="29" t="s">
        <v>156</v>
      </c>
      <c r="R91" s="29" t="s">
        <v>1022</v>
      </c>
      <c r="S91" s="29" t="s">
        <v>1023</v>
      </c>
      <c r="T91" s="31">
        <v>300</v>
      </c>
      <c r="U91" s="29" t="s">
        <v>36</v>
      </c>
      <c r="V91" s="29" t="s">
        <v>1024</v>
      </c>
      <c r="W91" s="28">
        <v>1740339356</v>
      </c>
      <c r="X91" s="29"/>
      <c r="Y91" s="29"/>
      <c r="Z91" s="72">
        <v>1</v>
      </c>
    </row>
    <row r="92" spans="1:27" s="29" customFormat="1" x14ac:dyDescent="0.25">
      <c r="A92" s="48">
        <v>122</v>
      </c>
      <c r="B92" s="49" t="s">
        <v>930</v>
      </c>
      <c r="C92" s="49" t="s">
        <v>1025</v>
      </c>
      <c r="D92" s="49" t="s">
        <v>1026</v>
      </c>
      <c r="E92" s="49" t="s">
        <v>1027</v>
      </c>
      <c r="F92" s="49"/>
      <c r="G92" s="49" t="s">
        <v>732</v>
      </c>
      <c r="H92" s="49" t="s">
        <v>733</v>
      </c>
      <c r="I92" s="49" t="s">
        <v>1028</v>
      </c>
      <c r="J92" s="48">
        <v>234</v>
      </c>
      <c r="K92" s="49" t="s">
        <v>845</v>
      </c>
      <c r="L92" s="48">
        <v>9</v>
      </c>
      <c r="M92" s="48">
        <v>2</v>
      </c>
      <c r="N92" s="49" t="s">
        <v>32</v>
      </c>
      <c r="O92" s="49" t="s">
        <v>121</v>
      </c>
      <c r="P92" s="49" t="s">
        <v>34</v>
      </c>
      <c r="Q92" s="49" t="s">
        <v>156</v>
      </c>
      <c r="R92" s="50" t="s">
        <v>1029</v>
      </c>
      <c r="S92" s="49" t="s">
        <v>1030</v>
      </c>
      <c r="T92" s="51">
        <v>275</v>
      </c>
      <c r="U92" s="49" t="s">
        <v>36</v>
      </c>
      <c r="V92" s="49" t="s">
        <v>1031</v>
      </c>
      <c r="W92" s="48">
        <v>1740342088</v>
      </c>
      <c r="X92" s="49"/>
      <c r="Y92" s="49"/>
      <c r="Z92" s="72">
        <v>3</v>
      </c>
      <c r="AA92"/>
    </row>
    <row r="93" spans="1:27" s="33" customFormat="1" x14ac:dyDescent="0.25">
      <c r="A93" s="32">
        <v>123</v>
      </c>
      <c r="B93" s="33" t="s">
        <v>1032</v>
      </c>
      <c r="C93" s="33" t="s">
        <v>1033</v>
      </c>
      <c r="D93" s="33" t="s">
        <v>1034</v>
      </c>
      <c r="E93" s="33" t="s">
        <v>1035</v>
      </c>
      <c r="G93" s="33" t="s">
        <v>732</v>
      </c>
      <c r="H93" s="33" t="s">
        <v>733</v>
      </c>
      <c r="I93" s="33" t="s">
        <v>1036</v>
      </c>
      <c r="J93" s="32">
        <v>74</v>
      </c>
      <c r="K93" s="33" t="s">
        <v>805</v>
      </c>
      <c r="L93" s="32">
        <v>8</v>
      </c>
      <c r="M93" s="32">
        <v>2</v>
      </c>
      <c r="N93" s="33" t="s">
        <v>32</v>
      </c>
      <c r="O93" s="33" t="s">
        <v>121</v>
      </c>
      <c r="P93" s="33" t="s">
        <v>34</v>
      </c>
      <c r="Q93" s="33" t="s">
        <v>156</v>
      </c>
      <c r="R93" s="34" t="s">
        <v>1037</v>
      </c>
      <c r="S93" s="33" t="s">
        <v>1038</v>
      </c>
      <c r="T93" s="35">
        <v>250</v>
      </c>
      <c r="U93" s="33" t="s">
        <v>36</v>
      </c>
      <c r="V93" s="33" t="s">
        <v>1039</v>
      </c>
      <c r="W93" s="32">
        <v>1740342609</v>
      </c>
      <c r="Z93" s="72">
        <v>3</v>
      </c>
      <c r="AA93"/>
    </row>
    <row r="94" spans="1:27" s="33" customFormat="1" x14ac:dyDescent="0.25">
      <c r="A94" s="32">
        <v>124</v>
      </c>
      <c r="B94" s="33" t="s">
        <v>728</v>
      </c>
      <c r="C94" s="33" t="s">
        <v>1040</v>
      </c>
      <c r="D94" s="33" t="s">
        <v>1041</v>
      </c>
      <c r="E94" s="33" t="s">
        <v>1042</v>
      </c>
      <c r="G94" s="33" t="s">
        <v>732</v>
      </c>
      <c r="H94" s="33" t="s">
        <v>733</v>
      </c>
      <c r="I94" s="33" t="s">
        <v>1043</v>
      </c>
      <c r="J94" s="32">
        <v>78</v>
      </c>
      <c r="K94" s="33" t="s">
        <v>805</v>
      </c>
      <c r="L94" s="32">
        <v>8</v>
      </c>
      <c r="M94" s="32">
        <v>1</v>
      </c>
      <c r="N94" s="33" t="s">
        <v>32</v>
      </c>
      <c r="O94" s="33" t="s">
        <v>121</v>
      </c>
      <c r="P94" s="33" t="s">
        <v>34</v>
      </c>
      <c r="Q94" s="33" t="s">
        <v>156</v>
      </c>
      <c r="R94" s="34" t="s">
        <v>1044</v>
      </c>
      <c r="S94" s="33" t="s">
        <v>1045</v>
      </c>
      <c r="T94" s="35">
        <v>225</v>
      </c>
      <c r="U94" s="33" t="s">
        <v>36</v>
      </c>
      <c r="V94" s="33" t="s">
        <v>1046</v>
      </c>
      <c r="W94" s="32">
        <v>1740342863</v>
      </c>
      <c r="Z94" s="72">
        <v>3</v>
      </c>
      <c r="AA94"/>
    </row>
    <row r="95" spans="1:27" x14ac:dyDescent="0.25">
      <c r="A95" s="49">
        <v>133</v>
      </c>
      <c r="B95" s="52" t="s">
        <v>1114</v>
      </c>
      <c r="C95" s="53" t="s">
        <v>1115</v>
      </c>
      <c r="D95" s="54" t="s">
        <v>1116</v>
      </c>
      <c r="E95" s="54" t="s">
        <v>1117</v>
      </c>
      <c r="F95" s="49"/>
      <c r="G95" s="49" t="s">
        <v>732</v>
      </c>
      <c r="H95" s="49" t="s">
        <v>733</v>
      </c>
      <c r="I95" s="54" t="s">
        <v>1118</v>
      </c>
      <c r="J95" s="54">
        <v>234</v>
      </c>
      <c r="K95" s="54" t="s">
        <v>845</v>
      </c>
      <c r="L95" s="54">
        <v>10</v>
      </c>
      <c r="M95" s="54">
        <v>2</v>
      </c>
      <c r="N95" s="49" t="s">
        <v>32</v>
      </c>
      <c r="O95" s="49" t="s">
        <v>121</v>
      </c>
      <c r="P95" s="49" t="s">
        <v>34</v>
      </c>
      <c r="Q95" s="49" t="s">
        <v>156</v>
      </c>
      <c r="R95" s="49" t="s">
        <v>1119</v>
      </c>
      <c r="S95" s="49" t="s">
        <v>1120</v>
      </c>
      <c r="T95" s="49"/>
      <c r="U95" s="49"/>
      <c r="V95" s="49"/>
      <c r="W95" s="49"/>
      <c r="X95" s="49" t="s">
        <v>1121</v>
      </c>
      <c r="Y95" s="49">
        <v>300</v>
      </c>
      <c r="Z95" s="72">
        <v>3</v>
      </c>
    </row>
    <row r="96" spans="1:27" s="37" customFormat="1" x14ac:dyDescent="0.25">
      <c r="A96">
        <v>134</v>
      </c>
      <c r="B96" s="11" t="s">
        <v>1122</v>
      </c>
      <c r="C96" s="9" t="s">
        <v>1123</v>
      </c>
      <c r="D96" s="8" t="s">
        <v>1124</v>
      </c>
      <c r="E96" s="8" t="s">
        <v>1125</v>
      </c>
      <c r="F96"/>
      <c r="G96" t="s">
        <v>732</v>
      </c>
      <c r="H96" t="s">
        <v>733</v>
      </c>
      <c r="I96" s="8" t="s">
        <v>1126</v>
      </c>
      <c r="J96" s="8">
        <v>211</v>
      </c>
      <c r="K96" s="8" t="s">
        <v>1127</v>
      </c>
      <c r="L96" s="8">
        <v>9</v>
      </c>
      <c r="M96" s="8">
        <v>2</v>
      </c>
      <c r="N96" t="s">
        <v>32</v>
      </c>
      <c r="O96" t="s">
        <v>121</v>
      </c>
      <c r="P96" t="s">
        <v>34</v>
      </c>
      <c r="Q96" t="s">
        <v>156</v>
      </c>
      <c r="R96"/>
      <c r="S96"/>
      <c r="T96"/>
      <c r="U96"/>
      <c r="V96"/>
      <c r="W96"/>
      <c r="X96" t="s">
        <v>1128</v>
      </c>
      <c r="Y96">
        <v>275</v>
      </c>
      <c r="Z96" s="72">
        <v>4</v>
      </c>
      <c r="AA96"/>
    </row>
    <row r="97" spans="1:27" s="37" customFormat="1" x14ac:dyDescent="0.25">
      <c r="A97">
        <v>135</v>
      </c>
      <c r="B97" s="11" t="s">
        <v>1129</v>
      </c>
      <c r="C97" s="9" t="s">
        <v>1130</v>
      </c>
      <c r="D97" s="8" t="s">
        <v>1131</v>
      </c>
      <c r="E97" s="8" t="s">
        <v>1132</v>
      </c>
      <c r="F97"/>
      <c r="G97" t="s">
        <v>732</v>
      </c>
      <c r="H97" t="s">
        <v>733</v>
      </c>
      <c r="I97" s="8" t="s">
        <v>1133</v>
      </c>
      <c r="J97" s="8">
        <v>16</v>
      </c>
      <c r="K97" s="8" t="s">
        <v>1134</v>
      </c>
      <c r="L97" s="8">
        <v>15</v>
      </c>
      <c r="M97" s="8">
        <v>2</v>
      </c>
      <c r="N97" t="s">
        <v>32</v>
      </c>
      <c r="O97" t="s">
        <v>121</v>
      </c>
      <c r="P97" t="s">
        <v>34</v>
      </c>
      <c r="Q97" t="s">
        <v>156</v>
      </c>
      <c r="R97"/>
      <c r="S97"/>
      <c r="T97"/>
      <c r="U97"/>
      <c r="V97"/>
      <c r="W97"/>
      <c r="X97" t="s">
        <v>1135</v>
      </c>
      <c r="Y97">
        <v>425</v>
      </c>
      <c r="Z97" s="72">
        <v>4</v>
      </c>
      <c r="AA97"/>
    </row>
    <row r="98" spans="1:27" x14ac:dyDescent="0.25">
      <c r="A98">
        <v>136</v>
      </c>
      <c r="B98" s="11" t="s">
        <v>1136</v>
      </c>
      <c r="C98" s="9" t="s">
        <v>1137</v>
      </c>
      <c r="D98" s="8" t="s">
        <v>1138</v>
      </c>
      <c r="E98" s="8" t="s">
        <v>1139</v>
      </c>
      <c r="G98" t="s">
        <v>732</v>
      </c>
      <c r="H98" t="s">
        <v>733</v>
      </c>
      <c r="I98" s="8" t="s">
        <v>1140</v>
      </c>
      <c r="J98" s="8" t="s">
        <v>844</v>
      </c>
      <c r="K98" s="8" t="s">
        <v>845</v>
      </c>
      <c r="L98" s="8">
        <v>7</v>
      </c>
      <c r="M98" s="8">
        <v>2</v>
      </c>
      <c r="N98" t="s">
        <v>32</v>
      </c>
      <c r="O98" t="s">
        <v>121</v>
      </c>
      <c r="P98" t="s">
        <v>34</v>
      </c>
      <c r="Q98" t="s">
        <v>156</v>
      </c>
      <c r="X98" t="s">
        <v>1141</v>
      </c>
      <c r="Y98">
        <v>225</v>
      </c>
      <c r="Z98" s="72">
        <v>2</v>
      </c>
    </row>
    <row r="99" spans="1:27" x14ac:dyDescent="0.25">
      <c r="A99">
        <v>137</v>
      </c>
      <c r="B99" s="11" t="s">
        <v>1142</v>
      </c>
      <c r="C99" s="9" t="s">
        <v>1143</v>
      </c>
      <c r="D99" s="8" t="s">
        <v>1144</v>
      </c>
      <c r="E99" s="12" t="s">
        <v>1145</v>
      </c>
      <c r="G99" t="s">
        <v>732</v>
      </c>
      <c r="H99" t="s">
        <v>733</v>
      </c>
      <c r="I99" s="8" t="s">
        <v>1146</v>
      </c>
      <c r="J99" s="8" t="s">
        <v>1147</v>
      </c>
      <c r="K99" s="8" t="s">
        <v>845</v>
      </c>
      <c r="L99" s="8">
        <v>7</v>
      </c>
      <c r="M99" s="8">
        <v>2</v>
      </c>
      <c r="N99" t="s">
        <v>32</v>
      </c>
      <c r="O99" t="s">
        <v>121</v>
      </c>
      <c r="P99" t="s">
        <v>34</v>
      </c>
      <c r="Q99" t="s">
        <v>156</v>
      </c>
      <c r="X99" t="s">
        <v>1141</v>
      </c>
      <c r="Y99">
        <v>225</v>
      </c>
      <c r="Z99" s="72">
        <v>3</v>
      </c>
    </row>
    <row r="100" spans="1:27" s="33" customFormat="1" x14ac:dyDescent="0.25">
      <c r="A100" s="33">
        <v>138</v>
      </c>
      <c r="B100" s="57" t="s">
        <v>1148</v>
      </c>
      <c r="C100" s="58" t="s">
        <v>1149</v>
      </c>
      <c r="D100" s="59" t="s">
        <v>1150</v>
      </c>
      <c r="E100" s="59" t="s">
        <v>1151</v>
      </c>
      <c r="G100" s="33" t="s">
        <v>732</v>
      </c>
      <c r="H100" s="33" t="s">
        <v>733</v>
      </c>
      <c r="I100" s="59" t="s">
        <v>1152</v>
      </c>
      <c r="J100" s="59">
        <v>94</v>
      </c>
      <c r="K100" s="59" t="s">
        <v>805</v>
      </c>
      <c r="L100" s="59">
        <v>7</v>
      </c>
      <c r="M100" s="59">
        <v>1</v>
      </c>
      <c r="N100" s="33" t="s">
        <v>32</v>
      </c>
      <c r="O100" s="33" t="s">
        <v>121</v>
      </c>
      <c r="P100" s="33" t="s">
        <v>34</v>
      </c>
      <c r="Q100" s="33" t="s">
        <v>156</v>
      </c>
      <c r="X100" s="33" t="s">
        <v>1153</v>
      </c>
      <c r="Y100" s="33">
        <v>200</v>
      </c>
      <c r="Z100" s="72">
        <v>3</v>
      </c>
      <c r="AA100"/>
    </row>
    <row r="101" spans="1:27" x14ac:dyDescent="0.25">
      <c r="A101" s="2">
        <v>1</v>
      </c>
      <c r="B101" t="s">
        <v>24</v>
      </c>
      <c r="C101" t="s">
        <v>25</v>
      </c>
      <c r="D101" t="s">
        <v>26</v>
      </c>
      <c r="E101" t="s">
        <v>27</v>
      </c>
      <c r="G101" t="s">
        <v>28</v>
      </c>
      <c r="H101" t="s">
        <v>29</v>
      </c>
      <c r="I101" t="s">
        <v>30</v>
      </c>
      <c r="J101" s="2">
        <v>3097</v>
      </c>
      <c r="K101" t="s">
        <v>31</v>
      </c>
      <c r="L101" s="2">
        <v>36</v>
      </c>
      <c r="M101" s="2">
        <v>6</v>
      </c>
      <c r="N101" t="s">
        <v>32</v>
      </c>
      <c r="O101" t="s">
        <v>33</v>
      </c>
      <c r="P101" t="s">
        <v>34</v>
      </c>
      <c r="Q101" t="s">
        <v>33</v>
      </c>
      <c r="S101" t="s">
        <v>35</v>
      </c>
      <c r="T101" s="3">
        <v>1050</v>
      </c>
      <c r="U101" t="s">
        <v>36</v>
      </c>
      <c r="V101" t="s">
        <v>37</v>
      </c>
      <c r="W101" s="2">
        <v>1732993114</v>
      </c>
      <c r="Z101" s="72">
        <v>3</v>
      </c>
    </row>
    <row r="102" spans="1:27" x14ac:dyDescent="0.25">
      <c r="A102" s="2">
        <v>2</v>
      </c>
      <c r="B102" t="s">
        <v>38</v>
      </c>
      <c r="C102" t="s">
        <v>39</v>
      </c>
      <c r="D102" t="s">
        <v>40</v>
      </c>
      <c r="E102" t="s">
        <v>41</v>
      </c>
      <c r="G102" t="s">
        <v>28</v>
      </c>
      <c r="H102" t="s">
        <v>29</v>
      </c>
      <c r="I102" t="s">
        <v>42</v>
      </c>
      <c r="J102" s="2">
        <v>1454</v>
      </c>
      <c r="K102" t="s">
        <v>43</v>
      </c>
      <c r="L102" s="2">
        <v>16</v>
      </c>
      <c r="M102" s="2">
        <v>4</v>
      </c>
      <c r="N102" t="s">
        <v>32</v>
      </c>
      <c r="O102" t="s">
        <v>33</v>
      </c>
      <c r="P102" t="s">
        <v>34</v>
      </c>
      <c r="Q102" t="s">
        <v>33</v>
      </c>
      <c r="S102" t="s">
        <v>44</v>
      </c>
      <c r="T102" s="3">
        <v>500</v>
      </c>
      <c r="U102" t="s">
        <v>36</v>
      </c>
      <c r="V102" t="s">
        <v>45</v>
      </c>
      <c r="W102" s="2">
        <v>1732993633</v>
      </c>
      <c r="Z102" s="72">
        <v>2</v>
      </c>
    </row>
    <row r="103" spans="1:27" x14ac:dyDescent="0.25">
      <c r="A103" s="2">
        <v>3</v>
      </c>
      <c r="B103" t="s">
        <v>24</v>
      </c>
      <c r="C103" t="s">
        <v>46</v>
      </c>
      <c r="D103" t="s">
        <v>47</v>
      </c>
      <c r="E103" t="s">
        <v>48</v>
      </c>
      <c r="G103" t="s">
        <v>28</v>
      </c>
      <c r="H103" t="s">
        <v>29</v>
      </c>
      <c r="I103" t="s">
        <v>49</v>
      </c>
      <c r="J103" s="2">
        <v>1228</v>
      </c>
      <c r="K103" t="s">
        <v>50</v>
      </c>
      <c r="L103" s="2">
        <v>18</v>
      </c>
      <c r="M103" s="2">
        <v>5</v>
      </c>
      <c r="N103" t="s">
        <v>32</v>
      </c>
      <c r="O103" t="s">
        <v>33</v>
      </c>
      <c r="P103" t="s">
        <v>34</v>
      </c>
      <c r="Q103" t="s">
        <v>33</v>
      </c>
      <c r="S103" t="s">
        <v>51</v>
      </c>
      <c r="T103" s="3">
        <v>575</v>
      </c>
      <c r="U103" t="s">
        <v>36</v>
      </c>
      <c r="V103" t="s">
        <v>52</v>
      </c>
      <c r="W103" s="2">
        <v>1732993918</v>
      </c>
      <c r="Z103" s="72">
        <v>2</v>
      </c>
    </row>
    <row r="104" spans="1:27" x14ac:dyDescent="0.25">
      <c r="A104" s="2">
        <v>4</v>
      </c>
      <c r="B104" t="s">
        <v>53</v>
      </c>
      <c r="C104" t="s">
        <v>54</v>
      </c>
      <c r="D104" t="s">
        <v>55</v>
      </c>
      <c r="E104" t="s">
        <v>56</v>
      </c>
      <c r="G104" t="s">
        <v>28</v>
      </c>
      <c r="H104" t="s">
        <v>29</v>
      </c>
      <c r="I104" t="s">
        <v>57</v>
      </c>
      <c r="J104" s="2">
        <v>1215</v>
      </c>
      <c r="K104" t="s">
        <v>58</v>
      </c>
      <c r="L104" s="2">
        <v>12</v>
      </c>
      <c r="M104" s="2">
        <v>3</v>
      </c>
      <c r="N104" t="s">
        <v>32</v>
      </c>
      <c r="O104" t="s">
        <v>33</v>
      </c>
      <c r="P104" t="s">
        <v>34</v>
      </c>
      <c r="Q104" t="s">
        <v>33</v>
      </c>
      <c r="S104" t="s">
        <v>59</v>
      </c>
      <c r="T104" s="3">
        <v>375</v>
      </c>
      <c r="U104" t="s">
        <v>36</v>
      </c>
      <c r="V104" t="s">
        <v>60</v>
      </c>
      <c r="W104" s="2">
        <v>1732994065</v>
      </c>
      <c r="Z104" s="72">
        <v>2</v>
      </c>
    </row>
    <row r="105" spans="1:27" s="23" customFormat="1" x14ac:dyDescent="0.25">
      <c r="A105" s="2">
        <v>5</v>
      </c>
      <c r="B105" t="s">
        <v>61</v>
      </c>
      <c r="C105" t="s">
        <v>62</v>
      </c>
      <c r="D105" t="s">
        <v>63</v>
      </c>
      <c r="E105" t="s">
        <v>64</v>
      </c>
      <c r="F105"/>
      <c r="G105" t="s">
        <v>28</v>
      </c>
      <c r="H105" t="s">
        <v>29</v>
      </c>
      <c r="I105" t="s">
        <v>65</v>
      </c>
      <c r="J105" s="2">
        <v>1737</v>
      </c>
      <c r="K105" t="s">
        <v>66</v>
      </c>
      <c r="L105" s="2">
        <v>32</v>
      </c>
      <c r="M105" s="2">
        <v>4</v>
      </c>
      <c r="N105" t="s">
        <v>32</v>
      </c>
      <c r="O105" t="s">
        <v>33</v>
      </c>
      <c r="P105" t="s">
        <v>34</v>
      </c>
      <c r="Q105" t="s">
        <v>33</v>
      </c>
      <c r="R105"/>
      <c r="S105" t="s">
        <v>67</v>
      </c>
      <c r="T105" s="3">
        <v>900</v>
      </c>
      <c r="U105" t="s">
        <v>36</v>
      </c>
      <c r="V105" t="s">
        <v>68</v>
      </c>
      <c r="W105" s="2">
        <v>1732995016</v>
      </c>
      <c r="X105"/>
      <c r="Y105"/>
      <c r="Z105" s="72">
        <v>4</v>
      </c>
      <c r="AA105"/>
    </row>
    <row r="106" spans="1:27" x14ac:dyDescent="0.25">
      <c r="A106" s="16">
        <v>6</v>
      </c>
      <c r="B106" s="17" t="s">
        <v>69</v>
      </c>
      <c r="C106" s="17" t="s">
        <v>70</v>
      </c>
      <c r="D106" s="17" t="s">
        <v>71</v>
      </c>
      <c r="E106" s="17" t="s">
        <v>72</v>
      </c>
      <c r="F106" s="17"/>
      <c r="G106" s="17" t="s">
        <v>28</v>
      </c>
      <c r="H106" s="17" t="s">
        <v>29</v>
      </c>
      <c r="I106" s="17" t="s">
        <v>73</v>
      </c>
      <c r="J106" s="16">
        <v>9133</v>
      </c>
      <c r="K106" s="17" t="s">
        <v>74</v>
      </c>
      <c r="L106" s="16">
        <v>7</v>
      </c>
      <c r="M106" s="16">
        <v>4</v>
      </c>
      <c r="N106" s="17" t="s">
        <v>32</v>
      </c>
      <c r="O106" s="17" t="s">
        <v>33</v>
      </c>
      <c r="P106" s="17" t="s">
        <v>34</v>
      </c>
      <c r="Q106" s="17" t="s">
        <v>33</v>
      </c>
      <c r="R106" s="17" t="s">
        <v>1178</v>
      </c>
      <c r="S106" s="17" t="s">
        <v>75</v>
      </c>
      <c r="T106" s="18">
        <v>275</v>
      </c>
      <c r="U106" s="17" t="s">
        <v>36</v>
      </c>
      <c r="V106" s="17" t="s">
        <v>76</v>
      </c>
      <c r="W106" s="16">
        <v>1732995533</v>
      </c>
      <c r="X106" s="17"/>
      <c r="Y106" s="17"/>
      <c r="Z106" s="72">
        <v>4</v>
      </c>
    </row>
    <row r="107" spans="1:27" x14ac:dyDescent="0.25">
      <c r="A107" s="2">
        <v>7</v>
      </c>
      <c r="B107" t="s">
        <v>77</v>
      </c>
      <c r="C107" t="s">
        <v>78</v>
      </c>
      <c r="D107" t="s">
        <v>79</v>
      </c>
      <c r="E107" t="s">
        <v>80</v>
      </c>
      <c r="G107" t="s">
        <v>28</v>
      </c>
      <c r="H107" t="s">
        <v>29</v>
      </c>
      <c r="I107" t="s">
        <v>81</v>
      </c>
      <c r="J107" s="2">
        <v>129776</v>
      </c>
      <c r="K107" t="s">
        <v>82</v>
      </c>
      <c r="L107" s="2">
        <v>19</v>
      </c>
      <c r="M107" s="2">
        <v>5</v>
      </c>
      <c r="N107" t="s">
        <v>32</v>
      </c>
      <c r="O107" t="s">
        <v>33</v>
      </c>
      <c r="P107" t="s">
        <v>34</v>
      </c>
      <c r="Q107" t="s">
        <v>33</v>
      </c>
      <c r="S107" t="s">
        <v>83</v>
      </c>
      <c r="T107" s="3">
        <v>600</v>
      </c>
      <c r="U107" t="s">
        <v>36</v>
      </c>
      <c r="V107" t="s">
        <v>84</v>
      </c>
      <c r="W107" s="2">
        <v>1732995773</v>
      </c>
      <c r="Z107" s="72">
        <v>4</v>
      </c>
    </row>
    <row r="108" spans="1:27" x14ac:dyDescent="0.25">
      <c r="A108" s="2">
        <v>8</v>
      </c>
      <c r="B108" t="s">
        <v>85</v>
      </c>
      <c r="C108" t="s">
        <v>86</v>
      </c>
      <c r="D108" t="s">
        <v>87</v>
      </c>
      <c r="E108" t="s">
        <v>88</v>
      </c>
      <c r="G108" t="s">
        <v>28</v>
      </c>
      <c r="H108" t="s">
        <v>29</v>
      </c>
      <c r="I108" t="s">
        <v>89</v>
      </c>
      <c r="J108" s="2">
        <v>2085</v>
      </c>
      <c r="K108" t="s">
        <v>90</v>
      </c>
      <c r="L108" s="2">
        <v>5</v>
      </c>
      <c r="M108" s="2">
        <v>2</v>
      </c>
      <c r="N108" t="s">
        <v>32</v>
      </c>
      <c r="O108" t="s">
        <v>33</v>
      </c>
      <c r="P108" t="s">
        <v>34</v>
      </c>
      <c r="Q108" t="s">
        <v>33</v>
      </c>
      <c r="S108" t="s">
        <v>91</v>
      </c>
      <c r="T108" s="3">
        <v>175</v>
      </c>
      <c r="U108" t="s">
        <v>36</v>
      </c>
      <c r="V108" t="s">
        <v>92</v>
      </c>
      <c r="W108" s="2">
        <v>1732995935</v>
      </c>
      <c r="Z108" s="72">
        <v>2</v>
      </c>
    </row>
    <row r="109" spans="1:27" x14ac:dyDescent="0.25">
      <c r="A109" s="2">
        <v>9</v>
      </c>
      <c r="B109" t="s">
        <v>38</v>
      </c>
      <c r="C109" t="s">
        <v>93</v>
      </c>
      <c r="D109" t="s">
        <v>94</v>
      </c>
      <c r="E109" t="s">
        <v>95</v>
      </c>
      <c r="G109" t="s">
        <v>28</v>
      </c>
      <c r="H109" t="s">
        <v>29</v>
      </c>
      <c r="I109" t="s">
        <v>96</v>
      </c>
      <c r="J109" s="2">
        <v>1606</v>
      </c>
      <c r="K109" t="s">
        <v>97</v>
      </c>
      <c r="L109" s="2">
        <v>7</v>
      </c>
      <c r="M109" s="2">
        <v>3</v>
      </c>
      <c r="N109" t="s">
        <v>32</v>
      </c>
      <c r="O109" t="s">
        <v>33</v>
      </c>
      <c r="P109" t="s">
        <v>34</v>
      </c>
      <c r="Q109" t="s">
        <v>33</v>
      </c>
      <c r="S109" t="s">
        <v>98</v>
      </c>
      <c r="T109" s="3">
        <v>250</v>
      </c>
      <c r="U109" t="s">
        <v>36</v>
      </c>
      <c r="V109" t="s">
        <v>99</v>
      </c>
      <c r="W109" s="2">
        <v>1732996116</v>
      </c>
      <c r="Z109" s="72">
        <v>2</v>
      </c>
    </row>
    <row r="110" spans="1:27" x14ac:dyDescent="0.25">
      <c r="A110" s="2">
        <v>10</v>
      </c>
      <c r="B110" t="s">
        <v>100</v>
      </c>
      <c r="C110" t="s">
        <v>101</v>
      </c>
      <c r="D110" t="s">
        <v>102</v>
      </c>
      <c r="E110" t="s">
        <v>103</v>
      </c>
      <c r="G110" t="s">
        <v>28</v>
      </c>
      <c r="H110" t="s">
        <v>29</v>
      </c>
      <c r="I110" t="s">
        <v>104</v>
      </c>
      <c r="J110" s="2">
        <v>1452</v>
      </c>
      <c r="K110" t="s">
        <v>43</v>
      </c>
      <c r="L110" s="2">
        <v>22</v>
      </c>
      <c r="M110" s="2">
        <v>5</v>
      </c>
      <c r="N110" t="s">
        <v>32</v>
      </c>
      <c r="O110" t="s">
        <v>33</v>
      </c>
      <c r="P110" t="s">
        <v>34</v>
      </c>
      <c r="Q110" t="s">
        <v>33</v>
      </c>
      <c r="S110" t="s">
        <v>105</v>
      </c>
      <c r="T110" s="3">
        <v>675</v>
      </c>
      <c r="U110" t="s">
        <v>36</v>
      </c>
      <c r="V110" t="s">
        <v>106</v>
      </c>
      <c r="W110" s="2">
        <v>1732996243</v>
      </c>
      <c r="Z110" s="72">
        <v>3</v>
      </c>
    </row>
    <row r="111" spans="1:27" s="10" customFormat="1" x14ac:dyDescent="0.25">
      <c r="A111" s="2">
        <v>11</v>
      </c>
      <c r="B111" t="s">
        <v>107</v>
      </c>
      <c r="C111" t="s">
        <v>108</v>
      </c>
      <c r="D111" t="s">
        <v>109</v>
      </c>
      <c r="E111" t="s">
        <v>110</v>
      </c>
      <c r="F111"/>
      <c r="G111" t="s">
        <v>28</v>
      </c>
      <c r="H111" t="s">
        <v>29</v>
      </c>
      <c r="I111" t="s">
        <v>111</v>
      </c>
      <c r="J111" s="2">
        <v>1271</v>
      </c>
      <c r="K111" t="s">
        <v>112</v>
      </c>
      <c r="L111" s="2">
        <v>23</v>
      </c>
      <c r="M111" s="2">
        <v>5</v>
      </c>
      <c r="N111" t="s">
        <v>32</v>
      </c>
      <c r="O111" t="s">
        <v>33</v>
      </c>
      <c r="P111" t="s">
        <v>34</v>
      </c>
      <c r="Q111" t="s">
        <v>33</v>
      </c>
      <c r="R111"/>
      <c r="S111" t="s">
        <v>113</v>
      </c>
      <c r="T111" s="3">
        <v>700</v>
      </c>
      <c r="U111" t="s">
        <v>36</v>
      </c>
      <c r="V111" t="s">
        <v>114</v>
      </c>
      <c r="W111" s="2">
        <v>1732996552</v>
      </c>
      <c r="X111"/>
      <c r="Y111"/>
      <c r="Z111" s="72">
        <v>3</v>
      </c>
      <c r="AA111"/>
    </row>
    <row r="112" spans="1:27" x14ac:dyDescent="0.25">
      <c r="A112" s="2">
        <v>12</v>
      </c>
      <c r="B112" t="s">
        <v>115</v>
      </c>
      <c r="C112" t="s">
        <v>116</v>
      </c>
      <c r="D112" t="s">
        <v>117</v>
      </c>
      <c r="E112" t="s">
        <v>118</v>
      </c>
      <c r="G112" t="s">
        <v>28</v>
      </c>
      <c r="H112" t="s">
        <v>29</v>
      </c>
      <c r="I112" t="s">
        <v>119</v>
      </c>
      <c r="J112" s="2">
        <v>1415</v>
      </c>
      <c r="K112" t="s">
        <v>120</v>
      </c>
      <c r="L112" s="2">
        <v>29</v>
      </c>
      <c r="M112" s="2">
        <v>6</v>
      </c>
      <c r="N112" t="s">
        <v>32</v>
      </c>
      <c r="O112" t="s">
        <v>121</v>
      </c>
      <c r="P112" t="s">
        <v>34</v>
      </c>
      <c r="Q112" t="s">
        <v>33</v>
      </c>
      <c r="S112" t="s">
        <v>122</v>
      </c>
      <c r="T112" s="3">
        <v>875</v>
      </c>
      <c r="U112" t="s">
        <v>36</v>
      </c>
      <c r="V112" t="s">
        <v>123</v>
      </c>
      <c r="W112" s="2">
        <v>1732996754</v>
      </c>
      <c r="Z112" s="72">
        <v>2</v>
      </c>
    </row>
    <row r="113" spans="1:27" x14ac:dyDescent="0.25">
      <c r="A113" s="2">
        <v>13</v>
      </c>
      <c r="B113" t="s">
        <v>124</v>
      </c>
      <c r="C113" t="s">
        <v>125</v>
      </c>
      <c r="D113" t="s">
        <v>126</v>
      </c>
      <c r="E113" t="s">
        <v>127</v>
      </c>
      <c r="G113" t="s">
        <v>28</v>
      </c>
      <c r="H113" t="s">
        <v>29</v>
      </c>
      <c r="I113" t="s">
        <v>128</v>
      </c>
      <c r="J113" s="2">
        <v>1475</v>
      </c>
      <c r="K113" t="s">
        <v>129</v>
      </c>
      <c r="L113" s="2">
        <v>40</v>
      </c>
      <c r="M113" s="2">
        <v>8</v>
      </c>
      <c r="N113" t="s">
        <v>32</v>
      </c>
      <c r="O113" t="s">
        <v>33</v>
      </c>
      <c r="P113" t="s">
        <v>34</v>
      </c>
      <c r="Q113" t="s">
        <v>33</v>
      </c>
      <c r="S113" t="s">
        <v>130</v>
      </c>
      <c r="T113" s="3">
        <v>1200</v>
      </c>
      <c r="U113" t="s">
        <v>36</v>
      </c>
      <c r="V113" t="s">
        <v>131</v>
      </c>
      <c r="W113" s="2">
        <v>1732996890</v>
      </c>
      <c r="Z113" s="72">
        <v>1</v>
      </c>
    </row>
    <row r="114" spans="1:27" x14ac:dyDescent="0.25">
      <c r="A114" s="2">
        <v>14</v>
      </c>
      <c r="B114" t="s">
        <v>132</v>
      </c>
      <c r="C114" t="s">
        <v>133</v>
      </c>
      <c r="D114" s="7" t="s">
        <v>1184</v>
      </c>
      <c r="E114" t="s">
        <v>134</v>
      </c>
      <c r="G114" t="s">
        <v>28</v>
      </c>
      <c r="H114" t="s">
        <v>29</v>
      </c>
      <c r="I114" t="s">
        <v>135</v>
      </c>
      <c r="J114" s="2">
        <v>1208</v>
      </c>
      <c r="K114" t="s">
        <v>136</v>
      </c>
      <c r="L114" s="2">
        <v>25</v>
      </c>
      <c r="M114" s="2">
        <v>5</v>
      </c>
      <c r="N114" t="s">
        <v>32</v>
      </c>
      <c r="O114" t="s">
        <v>33</v>
      </c>
      <c r="P114" t="s">
        <v>34</v>
      </c>
      <c r="Q114" t="s">
        <v>33</v>
      </c>
      <c r="S114" t="s">
        <v>137</v>
      </c>
      <c r="T114" s="3">
        <v>750</v>
      </c>
      <c r="U114" t="s">
        <v>36</v>
      </c>
      <c r="V114" t="s">
        <v>138</v>
      </c>
      <c r="W114" s="2">
        <v>1732997038</v>
      </c>
      <c r="Z114" s="72">
        <v>3</v>
      </c>
    </row>
    <row r="115" spans="1:27" s="43" customFormat="1" x14ac:dyDescent="0.25">
      <c r="A115" s="2">
        <v>15</v>
      </c>
      <c r="B115" t="s">
        <v>139</v>
      </c>
      <c r="C115" t="s">
        <v>140</v>
      </c>
      <c r="D115" t="s">
        <v>141</v>
      </c>
      <c r="E115" t="s">
        <v>142</v>
      </c>
      <c r="F115"/>
      <c r="G115" t="s">
        <v>28</v>
      </c>
      <c r="H115" t="s">
        <v>29</v>
      </c>
      <c r="I115" t="s">
        <v>143</v>
      </c>
      <c r="J115" s="2">
        <v>1476</v>
      </c>
      <c r="K115" t="s">
        <v>144</v>
      </c>
      <c r="L115" s="2">
        <v>17</v>
      </c>
      <c r="M115" s="2">
        <v>4</v>
      </c>
      <c r="N115" t="s">
        <v>32</v>
      </c>
      <c r="O115" t="s">
        <v>33</v>
      </c>
      <c r="P115" t="s">
        <v>34</v>
      </c>
      <c r="Q115" t="s">
        <v>33</v>
      </c>
      <c r="R115"/>
      <c r="S115" t="s">
        <v>145</v>
      </c>
      <c r="T115" s="3">
        <v>525</v>
      </c>
      <c r="U115" t="s">
        <v>36</v>
      </c>
      <c r="V115" t="s">
        <v>146</v>
      </c>
      <c r="W115" s="2">
        <v>1732997185</v>
      </c>
      <c r="X115"/>
      <c r="Y115"/>
      <c r="Z115" s="72">
        <v>3</v>
      </c>
      <c r="AA115"/>
    </row>
    <row r="116" spans="1:27" x14ac:dyDescent="0.25">
      <c r="A116" s="2">
        <v>53</v>
      </c>
      <c r="B116" t="s">
        <v>480</v>
      </c>
      <c r="C116" t="s">
        <v>481</v>
      </c>
      <c r="D116" t="s">
        <v>482</v>
      </c>
      <c r="E116" t="s">
        <v>483</v>
      </c>
      <c r="G116" t="s">
        <v>28</v>
      </c>
      <c r="H116" t="s">
        <v>29</v>
      </c>
      <c r="I116" t="s">
        <v>484</v>
      </c>
      <c r="J116" s="2">
        <v>1540</v>
      </c>
      <c r="K116" t="s">
        <v>31</v>
      </c>
      <c r="L116" s="2">
        <v>34</v>
      </c>
      <c r="M116" s="2">
        <v>7</v>
      </c>
      <c r="N116" t="s">
        <v>32</v>
      </c>
      <c r="O116" t="s">
        <v>33</v>
      </c>
      <c r="P116" t="s">
        <v>34</v>
      </c>
      <c r="Q116" t="s">
        <v>33</v>
      </c>
      <c r="S116" t="s">
        <v>485</v>
      </c>
      <c r="T116" s="3">
        <v>1025</v>
      </c>
      <c r="U116" t="s">
        <v>36</v>
      </c>
      <c r="V116" t="s">
        <v>486</v>
      </c>
      <c r="W116" s="2">
        <v>1734699671</v>
      </c>
      <c r="Z116" s="72">
        <v>2</v>
      </c>
    </row>
    <row r="117" spans="1:27" x14ac:dyDescent="0.25">
      <c r="A117" s="2">
        <v>54</v>
      </c>
      <c r="B117" s="4" t="s">
        <v>1186</v>
      </c>
      <c r="C117" s="4" t="s">
        <v>1187</v>
      </c>
      <c r="D117" s="7" t="s">
        <v>1188</v>
      </c>
      <c r="E117" s="70" t="s">
        <v>1189</v>
      </c>
      <c r="G117" t="s">
        <v>28</v>
      </c>
      <c r="H117" t="s">
        <v>29</v>
      </c>
      <c r="I117" s="4" t="s">
        <v>1190</v>
      </c>
      <c r="J117" s="2">
        <v>1234</v>
      </c>
      <c r="K117" s="4" t="s">
        <v>1191</v>
      </c>
      <c r="L117" s="2">
        <v>25</v>
      </c>
      <c r="M117" s="2">
        <v>5</v>
      </c>
      <c r="N117" t="s">
        <v>32</v>
      </c>
      <c r="O117" t="s">
        <v>33</v>
      </c>
      <c r="P117" t="s">
        <v>34</v>
      </c>
      <c r="Q117" t="s">
        <v>33</v>
      </c>
      <c r="S117" t="s">
        <v>487</v>
      </c>
      <c r="T117" s="3">
        <v>750</v>
      </c>
      <c r="U117" t="s">
        <v>36</v>
      </c>
      <c r="V117" t="s">
        <v>488</v>
      </c>
      <c r="W117" s="2">
        <v>1734699829</v>
      </c>
      <c r="Z117" s="72">
        <v>1</v>
      </c>
    </row>
    <row r="118" spans="1:27" x14ac:dyDescent="0.25">
      <c r="A118" s="2">
        <v>55</v>
      </c>
      <c r="B118" t="s">
        <v>489</v>
      </c>
      <c r="C118" t="s">
        <v>490</v>
      </c>
      <c r="D118" t="s">
        <v>491</v>
      </c>
      <c r="E118" t="s">
        <v>492</v>
      </c>
      <c r="G118" t="s">
        <v>28</v>
      </c>
      <c r="H118" t="s">
        <v>29</v>
      </c>
      <c r="I118" t="s">
        <v>96</v>
      </c>
      <c r="J118" s="2">
        <v>1606</v>
      </c>
      <c r="K118" t="s">
        <v>97</v>
      </c>
      <c r="L118" s="2">
        <v>10</v>
      </c>
      <c r="M118" s="2">
        <v>2</v>
      </c>
      <c r="N118" t="s">
        <v>32</v>
      </c>
      <c r="O118" t="s">
        <v>33</v>
      </c>
      <c r="P118" t="s">
        <v>34</v>
      </c>
      <c r="Q118" t="s">
        <v>33</v>
      </c>
      <c r="S118" t="s">
        <v>493</v>
      </c>
      <c r="T118" s="3">
        <v>300</v>
      </c>
      <c r="U118" t="s">
        <v>36</v>
      </c>
      <c r="V118" t="s">
        <v>494</v>
      </c>
      <c r="W118" s="2">
        <v>1734699963</v>
      </c>
      <c r="Z118" s="72">
        <v>3</v>
      </c>
    </row>
    <row r="119" spans="1:27" s="43" customFormat="1" x14ac:dyDescent="0.25">
      <c r="A119" s="22">
        <v>27</v>
      </c>
      <c r="B119" s="23" t="s">
        <v>251</v>
      </c>
      <c r="C119" s="23" t="s">
        <v>252</v>
      </c>
      <c r="D119" s="23" t="s">
        <v>253</v>
      </c>
      <c r="E119" s="23" t="s">
        <v>254</v>
      </c>
      <c r="F119" s="23"/>
      <c r="G119" s="23" t="s">
        <v>255</v>
      </c>
      <c r="H119" s="23" t="s">
        <v>256</v>
      </c>
      <c r="I119" s="23" t="s">
        <v>257</v>
      </c>
      <c r="J119" s="43" t="s">
        <v>258</v>
      </c>
      <c r="K119" s="43" t="s">
        <v>259</v>
      </c>
      <c r="L119" s="22">
        <v>15</v>
      </c>
      <c r="M119" s="22">
        <v>5</v>
      </c>
      <c r="N119" s="23" t="s">
        <v>32</v>
      </c>
      <c r="O119" s="23" t="s">
        <v>155</v>
      </c>
      <c r="P119" s="23" t="s">
        <v>34</v>
      </c>
      <c r="Q119" s="23" t="s">
        <v>156</v>
      </c>
      <c r="R119" s="24" t="s">
        <v>260</v>
      </c>
      <c r="S119" s="23" t="s">
        <v>261</v>
      </c>
      <c r="T119" s="25">
        <v>500</v>
      </c>
      <c r="U119" s="23" t="s">
        <v>36</v>
      </c>
      <c r="V119" s="23" t="s">
        <v>262</v>
      </c>
      <c r="W119" s="22">
        <v>1733047304</v>
      </c>
      <c r="X119" s="23">
        <v>1</v>
      </c>
      <c r="Y119" s="26" t="s">
        <v>263</v>
      </c>
      <c r="Z119" s="72">
        <v>2</v>
      </c>
      <c r="AA119"/>
    </row>
    <row r="120" spans="1:27" x14ac:dyDescent="0.25">
      <c r="A120" s="22">
        <v>32</v>
      </c>
      <c r="B120" s="23" t="s">
        <v>299</v>
      </c>
      <c r="C120" s="23" t="s">
        <v>300</v>
      </c>
      <c r="D120" s="23" t="s">
        <v>301</v>
      </c>
      <c r="E120" s="23" t="s">
        <v>302</v>
      </c>
      <c r="F120" s="23"/>
      <c r="G120" s="23" t="s">
        <v>255</v>
      </c>
      <c r="H120" s="23" t="s">
        <v>256</v>
      </c>
      <c r="I120" s="23" t="s">
        <v>303</v>
      </c>
      <c r="J120" s="23" t="s">
        <v>304</v>
      </c>
      <c r="K120" s="23" t="s">
        <v>305</v>
      </c>
      <c r="L120" s="22">
        <v>15</v>
      </c>
      <c r="M120" s="22">
        <v>3</v>
      </c>
      <c r="N120" s="23" t="s">
        <v>32</v>
      </c>
      <c r="O120" s="23" t="s">
        <v>155</v>
      </c>
      <c r="P120" s="23" t="s">
        <v>34</v>
      </c>
      <c r="Q120" s="23" t="s">
        <v>33</v>
      </c>
      <c r="R120" s="24" t="s">
        <v>306</v>
      </c>
      <c r="S120" s="23" t="s">
        <v>307</v>
      </c>
      <c r="T120" s="25">
        <v>300</v>
      </c>
      <c r="U120" s="23" t="s">
        <v>36</v>
      </c>
      <c r="V120" s="23" t="s">
        <v>308</v>
      </c>
      <c r="W120" s="22">
        <v>1733076956</v>
      </c>
      <c r="X120" s="23" t="s">
        <v>309</v>
      </c>
      <c r="Y120" s="23"/>
      <c r="Z120" s="72">
        <v>2</v>
      </c>
    </row>
    <row r="121" spans="1:27" s="29" customFormat="1" x14ac:dyDescent="0.25">
      <c r="A121" s="2">
        <v>43</v>
      </c>
      <c r="B121" t="s">
        <v>403</v>
      </c>
      <c r="C121" t="s">
        <v>404</v>
      </c>
      <c r="D121" t="s">
        <v>405</v>
      </c>
      <c r="E121" t="s">
        <v>406</v>
      </c>
      <c r="F121"/>
      <c r="G121" t="s">
        <v>255</v>
      </c>
      <c r="H121" t="s">
        <v>256</v>
      </c>
      <c r="I121" t="s">
        <v>407</v>
      </c>
      <c r="J121" t="s">
        <v>408</v>
      </c>
      <c r="K121" t="s">
        <v>409</v>
      </c>
      <c r="L121" s="2">
        <v>25</v>
      </c>
      <c r="M121" s="2">
        <v>5</v>
      </c>
      <c r="N121" t="s">
        <v>32</v>
      </c>
      <c r="O121" t="s">
        <v>121</v>
      </c>
      <c r="P121" t="s">
        <v>34</v>
      </c>
      <c r="Q121" t="s">
        <v>156</v>
      </c>
      <c r="R121"/>
      <c r="S121" t="s">
        <v>410</v>
      </c>
      <c r="T121" s="3">
        <v>750</v>
      </c>
      <c r="U121" t="s">
        <v>36</v>
      </c>
      <c r="V121" t="s">
        <v>411</v>
      </c>
      <c r="W121" s="2">
        <v>1733593224</v>
      </c>
      <c r="X121"/>
      <c r="Y121"/>
      <c r="Z121" s="72">
        <v>2</v>
      </c>
      <c r="AA121"/>
    </row>
    <row r="122" spans="1:27" s="49" customFormat="1" x14ac:dyDescent="0.25">
      <c r="A122" s="2">
        <v>48</v>
      </c>
      <c r="B122" t="s">
        <v>441</v>
      </c>
      <c r="C122" t="s">
        <v>442</v>
      </c>
      <c r="D122" t="s">
        <v>443</v>
      </c>
      <c r="E122" t="s">
        <v>444</v>
      </c>
      <c r="F122"/>
      <c r="G122" t="s">
        <v>255</v>
      </c>
      <c r="H122" t="s">
        <v>256</v>
      </c>
      <c r="I122" t="s">
        <v>445</v>
      </c>
      <c r="J122" s="2">
        <v>100</v>
      </c>
      <c r="K122" t="s">
        <v>446</v>
      </c>
      <c r="L122" s="2">
        <v>1</v>
      </c>
      <c r="M122" s="2">
        <v>1</v>
      </c>
      <c r="N122" t="s">
        <v>32</v>
      </c>
      <c r="O122" t="s">
        <v>155</v>
      </c>
      <c r="P122" t="s">
        <v>34</v>
      </c>
      <c r="Q122" t="s">
        <v>156</v>
      </c>
      <c r="R122"/>
      <c r="S122" t="s">
        <v>447</v>
      </c>
      <c r="T122" s="3">
        <v>75</v>
      </c>
      <c r="U122" t="s">
        <v>36</v>
      </c>
      <c r="V122" t="s">
        <v>448</v>
      </c>
      <c r="W122" s="2">
        <v>1733605375</v>
      </c>
      <c r="X122"/>
      <c r="Y122"/>
      <c r="Z122" s="72">
        <v>4</v>
      </c>
      <c r="AA122"/>
    </row>
    <row r="123" spans="1:27" x14ac:dyDescent="0.25">
      <c r="A123" s="22">
        <v>51</v>
      </c>
      <c r="B123" s="23" t="s">
        <v>461</v>
      </c>
      <c r="C123" s="23" t="s">
        <v>462</v>
      </c>
      <c r="D123" s="23" t="s">
        <v>463</v>
      </c>
      <c r="E123" s="23" t="s">
        <v>464</v>
      </c>
      <c r="F123" s="23" t="s">
        <v>465</v>
      </c>
      <c r="G123" s="23" t="s">
        <v>255</v>
      </c>
      <c r="H123" s="23" t="s">
        <v>256</v>
      </c>
      <c r="I123" s="23" t="s">
        <v>466</v>
      </c>
      <c r="J123" s="22">
        <v>240</v>
      </c>
      <c r="K123" s="23" t="s">
        <v>467</v>
      </c>
      <c r="L123" s="22">
        <v>13</v>
      </c>
      <c r="M123" s="22">
        <v>3</v>
      </c>
      <c r="N123" s="23" t="s">
        <v>32</v>
      </c>
      <c r="O123" s="23" t="s">
        <v>155</v>
      </c>
      <c r="P123" s="23" t="s">
        <v>34</v>
      </c>
      <c r="Q123" s="23" t="s">
        <v>156</v>
      </c>
      <c r="R123" s="23" t="s">
        <v>468</v>
      </c>
      <c r="S123" s="23" t="s">
        <v>469</v>
      </c>
      <c r="T123" s="25">
        <v>400</v>
      </c>
      <c r="U123" s="23" t="s">
        <v>36</v>
      </c>
      <c r="V123" s="23" t="s">
        <v>470</v>
      </c>
      <c r="W123" s="22">
        <v>1733952286</v>
      </c>
      <c r="X123" s="23"/>
      <c r="Y123" s="23"/>
      <c r="Z123" s="72">
        <v>2</v>
      </c>
    </row>
    <row r="124" spans="1:27" x14ac:dyDescent="0.25">
      <c r="A124" s="2">
        <v>52</v>
      </c>
      <c r="B124" t="s">
        <v>471</v>
      </c>
      <c r="C124" t="s">
        <v>472</v>
      </c>
      <c r="D124" t="s">
        <v>473</v>
      </c>
      <c r="E124" t="s">
        <v>474</v>
      </c>
      <c r="G124" t="s">
        <v>255</v>
      </c>
      <c r="H124" t="s">
        <v>256</v>
      </c>
      <c r="I124" t="s">
        <v>475</v>
      </c>
      <c r="J124" t="s">
        <v>476</v>
      </c>
      <c r="K124" t="s">
        <v>477</v>
      </c>
      <c r="L124" s="2">
        <v>12</v>
      </c>
      <c r="M124" s="2">
        <v>3</v>
      </c>
      <c r="N124" t="s">
        <v>32</v>
      </c>
      <c r="O124" t="s">
        <v>33</v>
      </c>
      <c r="P124" t="s">
        <v>34</v>
      </c>
      <c r="Q124" t="s">
        <v>156</v>
      </c>
      <c r="S124" t="s">
        <v>478</v>
      </c>
      <c r="T124" s="3">
        <v>375</v>
      </c>
      <c r="U124" t="s">
        <v>36</v>
      </c>
      <c r="V124" t="s">
        <v>479</v>
      </c>
      <c r="W124" s="2">
        <v>1734101894</v>
      </c>
      <c r="Z124" s="72">
        <v>3</v>
      </c>
    </row>
    <row r="125" spans="1:27" x14ac:dyDescent="0.25">
      <c r="A125" s="2">
        <v>56</v>
      </c>
      <c r="B125" t="s">
        <v>495</v>
      </c>
      <c r="C125" t="s">
        <v>496</v>
      </c>
      <c r="D125" t="s">
        <v>497</v>
      </c>
      <c r="E125" t="s">
        <v>498</v>
      </c>
      <c r="G125" t="s">
        <v>255</v>
      </c>
      <c r="H125" t="s">
        <v>256</v>
      </c>
      <c r="I125" t="s">
        <v>499</v>
      </c>
      <c r="J125" s="2">
        <v>12</v>
      </c>
      <c r="K125" t="s">
        <v>500</v>
      </c>
      <c r="L125" s="2">
        <v>35</v>
      </c>
      <c r="M125" s="2">
        <v>7</v>
      </c>
      <c r="N125" t="s">
        <v>32</v>
      </c>
      <c r="O125" t="s">
        <v>156</v>
      </c>
      <c r="P125" t="s">
        <v>34</v>
      </c>
      <c r="Q125" t="s">
        <v>33</v>
      </c>
      <c r="S125" t="s">
        <v>501</v>
      </c>
      <c r="T125" s="3">
        <v>1050</v>
      </c>
      <c r="U125" t="s">
        <v>36</v>
      </c>
      <c r="V125" t="s">
        <v>502</v>
      </c>
      <c r="W125" s="2">
        <v>1735717189</v>
      </c>
      <c r="Z125" s="72">
        <v>3</v>
      </c>
    </row>
    <row r="126" spans="1:27" x14ac:dyDescent="0.25">
      <c r="A126" s="2">
        <v>68</v>
      </c>
      <c r="B126" t="s">
        <v>602</v>
      </c>
      <c r="C126" t="s">
        <v>603</v>
      </c>
      <c r="D126" t="s">
        <v>604</v>
      </c>
      <c r="E126" t="s">
        <v>605</v>
      </c>
      <c r="G126" t="s">
        <v>255</v>
      </c>
      <c r="H126" t="s">
        <v>256</v>
      </c>
      <c r="I126" t="s">
        <v>606</v>
      </c>
      <c r="J126" t="s">
        <v>607</v>
      </c>
      <c r="K126" t="s">
        <v>608</v>
      </c>
      <c r="L126" s="2">
        <v>20</v>
      </c>
      <c r="M126" s="2">
        <v>8</v>
      </c>
      <c r="N126" t="s">
        <v>32</v>
      </c>
      <c r="O126" t="s">
        <v>155</v>
      </c>
      <c r="P126" t="s">
        <v>34</v>
      </c>
      <c r="Q126" t="s">
        <v>156</v>
      </c>
      <c r="S126" t="s">
        <v>609</v>
      </c>
      <c r="T126" s="3">
        <v>700</v>
      </c>
      <c r="U126" t="s">
        <v>36</v>
      </c>
      <c r="V126" t="s">
        <v>610</v>
      </c>
      <c r="W126" s="2">
        <v>1737727098</v>
      </c>
      <c r="Z126" s="72">
        <v>4</v>
      </c>
    </row>
    <row r="127" spans="1:27" s="23" customFormat="1" x14ac:dyDescent="0.25">
      <c r="A127" s="22">
        <v>69</v>
      </c>
      <c r="B127" s="23" t="s">
        <v>611</v>
      </c>
      <c r="C127" s="23" t="s">
        <v>612</v>
      </c>
      <c r="D127" s="23" t="s">
        <v>613</v>
      </c>
      <c r="E127" s="23" t="s">
        <v>614</v>
      </c>
      <c r="G127" s="23" t="s">
        <v>255</v>
      </c>
      <c r="H127" s="23" t="s">
        <v>256</v>
      </c>
      <c r="I127" s="23" t="s">
        <v>615</v>
      </c>
      <c r="J127" s="23" t="s">
        <v>616</v>
      </c>
      <c r="K127" s="23" t="s">
        <v>617</v>
      </c>
      <c r="L127" s="22">
        <v>5</v>
      </c>
      <c r="M127" s="22">
        <v>4</v>
      </c>
      <c r="N127" s="23" t="s">
        <v>32</v>
      </c>
      <c r="O127" s="23" t="s">
        <v>155</v>
      </c>
      <c r="P127" s="23" t="s">
        <v>34</v>
      </c>
      <c r="Q127" s="23" t="s">
        <v>156</v>
      </c>
      <c r="R127" s="23" t="s">
        <v>618</v>
      </c>
      <c r="S127" s="23" t="s">
        <v>619</v>
      </c>
      <c r="T127" s="25">
        <v>225</v>
      </c>
      <c r="U127" s="23" t="s">
        <v>36</v>
      </c>
      <c r="V127" s="23" t="s">
        <v>620</v>
      </c>
      <c r="W127" s="22">
        <v>1737816854</v>
      </c>
      <c r="Y127" s="24" t="s">
        <v>621</v>
      </c>
      <c r="Z127" s="72">
        <v>4</v>
      </c>
      <c r="AA127"/>
    </row>
    <row r="128" spans="1:27" s="23" customFormat="1" x14ac:dyDescent="0.25">
      <c r="A128" s="22">
        <v>74</v>
      </c>
      <c r="B128" s="23" t="s">
        <v>655</v>
      </c>
      <c r="C128" s="23" t="s">
        <v>656</v>
      </c>
      <c r="D128" s="23" t="s">
        <v>657</v>
      </c>
      <c r="E128" s="23" t="s">
        <v>658</v>
      </c>
      <c r="G128" s="23" t="s">
        <v>255</v>
      </c>
      <c r="H128" s="23" t="s">
        <v>256</v>
      </c>
      <c r="I128" s="23" t="s">
        <v>445</v>
      </c>
      <c r="J128" s="22">
        <v>100</v>
      </c>
      <c r="K128" s="23" t="s">
        <v>446</v>
      </c>
      <c r="L128" s="22">
        <v>17</v>
      </c>
      <c r="M128" s="22">
        <v>7</v>
      </c>
      <c r="N128" s="23" t="s">
        <v>32</v>
      </c>
      <c r="O128" s="23" t="s">
        <v>155</v>
      </c>
      <c r="P128" s="23" t="s">
        <v>34</v>
      </c>
      <c r="Q128" s="23" t="s">
        <v>156</v>
      </c>
      <c r="R128" s="24" t="s">
        <v>659</v>
      </c>
      <c r="S128" s="23" t="s">
        <v>660</v>
      </c>
      <c r="T128" s="25">
        <v>600</v>
      </c>
      <c r="U128" s="23" t="s">
        <v>36</v>
      </c>
      <c r="V128" s="23" t="s">
        <v>661</v>
      </c>
      <c r="W128" s="22">
        <v>1738260903</v>
      </c>
      <c r="Z128" s="72">
        <v>4</v>
      </c>
      <c r="AA128"/>
    </row>
    <row r="129" spans="1:27" s="23" customFormat="1" x14ac:dyDescent="0.25">
      <c r="A129" s="2">
        <v>79</v>
      </c>
      <c r="B129" t="s">
        <v>695</v>
      </c>
      <c r="C129" t="s">
        <v>696</v>
      </c>
      <c r="D129" t="s">
        <v>697</v>
      </c>
      <c r="E129" t="s">
        <v>464</v>
      </c>
      <c r="F129"/>
      <c r="G129" t="s">
        <v>255</v>
      </c>
      <c r="H129" t="s">
        <v>256</v>
      </c>
      <c r="I129" t="s">
        <v>698</v>
      </c>
      <c r="J129" s="2">
        <v>164</v>
      </c>
      <c r="K129" t="s">
        <v>699</v>
      </c>
      <c r="L129" s="2">
        <v>6</v>
      </c>
      <c r="M129" s="2">
        <v>2</v>
      </c>
      <c r="N129" t="s">
        <v>32</v>
      </c>
      <c r="O129" t="s">
        <v>121</v>
      </c>
      <c r="P129" s="10" t="s">
        <v>700</v>
      </c>
      <c r="Q129" t="s">
        <v>156</v>
      </c>
      <c r="R129"/>
      <c r="S129" t="s">
        <v>701</v>
      </c>
      <c r="T129" s="3">
        <v>200</v>
      </c>
      <c r="U129" t="s">
        <v>36</v>
      </c>
      <c r="V129" t="s">
        <v>702</v>
      </c>
      <c r="W129" s="2">
        <v>1738419340</v>
      </c>
      <c r="X129"/>
      <c r="Y129"/>
      <c r="Z129" s="72">
        <v>3</v>
      </c>
      <c r="AA129"/>
    </row>
    <row r="130" spans="1:27" s="23" customFormat="1" x14ac:dyDescent="0.25">
      <c r="A130" s="2">
        <v>102</v>
      </c>
      <c r="B130" t="s">
        <v>874</v>
      </c>
      <c r="C130" t="s">
        <v>875</v>
      </c>
      <c r="D130" t="s">
        <v>876</v>
      </c>
      <c r="E130" t="s">
        <v>877</v>
      </c>
      <c r="F130" t="s">
        <v>878</v>
      </c>
      <c r="G130" t="s">
        <v>255</v>
      </c>
      <c r="H130" t="s">
        <v>256</v>
      </c>
      <c r="I130" t="s">
        <v>879</v>
      </c>
      <c r="J130" t="s">
        <v>880</v>
      </c>
      <c r="K130" t="s">
        <v>881</v>
      </c>
      <c r="L130" s="2">
        <v>6</v>
      </c>
      <c r="M130" s="2">
        <v>2</v>
      </c>
      <c r="N130" t="s">
        <v>32</v>
      </c>
      <c r="O130" t="s">
        <v>155</v>
      </c>
      <c r="P130" t="s">
        <v>700</v>
      </c>
      <c r="Q130" t="s">
        <v>33</v>
      </c>
      <c r="R130"/>
      <c r="S130" t="s">
        <v>882</v>
      </c>
      <c r="T130" s="3">
        <v>200</v>
      </c>
      <c r="U130" t="s">
        <v>36</v>
      </c>
      <c r="V130" t="s">
        <v>883</v>
      </c>
      <c r="W130" s="2">
        <v>1739127908</v>
      </c>
      <c r="X130" s="5"/>
      <c r="Y130" s="6" t="s">
        <v>884</v>
      </c>
      <c r="Z130" s="72">
        <v>3</v>
      </c>
      <c r="AA130"/>
    </row>
    <row r="131" spans="1:27" s="10" customFormat="1" x14ac:dyDescent="0.25">
      <c r="A131" s="2">
        <v>113</v>
      </c>
      <c r="B131" t="s">
        <v>956</v>
      </c>
      <c r="C131" t="s">
        <v>957</v>
      </c>
      <c r="D131" t="s">
        <v>958</v>
      </c>
      <c r="E131" t="s">
        <v>959</v>
      </c>
      <c r="F131"/>
      <c r="G131" t="s">
        <v>255</v>
      </c>
      <c r="H131" t="s">
        <v>256</v>
      </c>
      <c r="I131" t="s">
        <v>960</v>
      </c>
      <c r="J131" s="2">
        <v>44</v>
      </c>
      <c r="K131" t="s">
        <v>961</v>
      </c>
      <c r="L131" s="2">
        <v>10</v>
      </c>
      <c r="M131" s="2">
        <v>6</v>
      </c>
      <c r="N131" t="s">
        <v>32</v>
      </c>
      <c r="O131" t="s">
        <v>155</v>
      </c>
      <c r="P131" t="s">
        <v>34</v>
      </c>
      <c r="Q131" t="s">
        <v>156</v>
      </c>
      <c r="R131"/>
      <c r="S131" t="s">
        <v>338</v>
      </c>
      <c r="T131" s="3">
        <v>400</v>
      </c>
      <c r="U131" t="s">
        <v>36</v>
      </c>
      <c r="V131" t="s">
        <v>962</v>
      </c>
      <c r="W131" s="2">
        <v>1740332231</v>
      </c>
      <c r="X131"/>
      <c r="Y131"/>
      <c r="Z131" s="72">
        <v>1</v>
      </c>
      <c r="AA131"/>
    </row>
    <row r="132" spans="1:27" s="49" customFormat="1" x14ac:dyDescent="0.25">
      <c r="A132" s="2">
        <v>125</v>
      </c>
      <c r="B132" t="s">
        <v>602</v>
      </c>
      <c r="C132" t="s">
        <v>603</v>
      </c>
      <c r="D132" t="s">
        <v>604</v>
      </c>
      <c r="E132" t="s">
        <v>1047</v>
      </c>
      <c r="F132"/>
      <c r="G132" t="s">
        <v>255</v>
      </c>
      <c r="H132" t="s">
        <v>256</v>
      </c>
      <c r="I132" t="s">
        <v>1048</v>
      </c>
      <c r="J132" s="2">
        <v>156</v>
      </c>
      <c r="K132" t="s">
        <v>1049</v>
      </c>
      <c r="L132" s="2">
        <v>7</v>
      </c>
      <c r="M132" s="2">
        <v>3</v>
      </c>
      <c r="N132" t="s">
        <v>32</v>
      </c>
      <c r="O132" t="s">
        <v>155</v>
      </c>
      <c r="P132" t="s">
        <v>34</v>
      </c>
      <c r="Q132" t="s">
        <v>156</v>
      </c>
      <c r="R132"/>
      <c r="S132" t="s">
        <v>1050</v>
      </c>
      <c r="T132" s="3">
        <v>250</v>
      </c>
      <c r="U132" t="s">
        <v>36</v>
      </c>
      <c r="V132" t="s">
        <v>1051</v>
      </c>
      <c r="W132" s="2">
        <v>1740516436</v>
      </c>
      <c r="X132"/>
      <c r="Y132"/>
      <c r="Z132" s="72">
        <v>1</v>
      </c>
      <c r="AA132"/>
    </row>
    <row r="133" spans="1:27" x14ac:dyDescent="0.25">
      <c r="A133" s="2">
        <v>126</v>
      </c>
      <c r="B133" t="s">
        <v>1052</v>
      </c>
      <c r="C133" t="s">
        <v>1053</v>
      </c>
      <c r="D133" t="s">
        <v>1054</v>
      </c>
      <c r="E133" t="s">
        <v>1055</v>
      </c>
      <c r="G133" t="s">
        <v>255</v>
      </c>
      <c r="H133" t="s">
        <v>256</v>
      </c>
      <c r="I133" s="2">
        <v>303</v>
      </c>
      <c r="J133" t="s">
        <v>1056</v>
      </c>
      <c r="K133" t="s">
        <v>1057</v>
      </c>
      <c r="L133" s="2">
        <v>8</v>
      </c>
      <c r="M133" s="2">
        <v>3</v>
      </c>
      <c r="N133" t="s">
        <v>32</v>
      </c>
      <c r="O133" t="s">
        <v>33</v>
      </c>
      <c r="P133" t="s">
        <v>34</v>
      </c>
      <c r="Q133" t="s">
        <v>33</v>
      </c>
      <c r="S133" t="s">
        <v>1058</v>
      </c>
      <c r="T133" s="3">
        <v>275</v>
      </c>
      <c r="U133" t="s">
        <v>36</v>
      </c>
      <c r="V133" t="s">
        <v>1059</v>
      </c>
      <c r="W133" s="2">
        <v>1740680895</v>
      </c>
      <c r="Z133" s="72">
        <v>2</v>
      </c>
    </row>
    <row r="134" spans="1:27" x14ac:dyDescent="0.25">
      <c r="A134" s="22">
        <v>128</v>
      </c>
      <c r="B134" s="23" t="s">
        <v>420</v>
      </c>
      <c r="C134" s="23" t="s">
        <v>1069</v>
      </c>
      <c r="D134" s="23" t="s">
        <v>1070</v>
      </c>
      <c r="E134" s="23" t="s">
        <v>1071</v>
      </c>
      <c r="F134" s="23" t="s">
        <v>1072</v>
      </c>
      <c r="G134" s="23" t="s">
        <v>255</v>
      </c>
      <c r="H134" s="23" t="s">
        <v>256</v>
      </c>
      <c r="I134" s="23" t="s">
        <v>615</v>
      </c>
      <c r="J134" s="22">
        <v>56</v>
      </c>
      <c r="K134" s="23" t="s">
        <v>271</v>
      </c>
      <c r="L134" s="22">
        <v>9</v>
      </c>
      <c r="M134" s="22">
        <v>3</v>
      </c>
      <c r="N134" s="23" t="s">
        <v>32</v>
      </c>
      <c r="O134" s="23" t="s">
        <v>155</v>
      </c>
      <c r="P134" s="23" t="s">
        <v>34</v>
      </c>
      <c r="Q134" s="23" t="s">
        <v>156</v>
      </c>
      <c r="R134" s="23" t="s">
        <v>1073</v>
      </c>
      <c r="S134" s="23" t="s">
        <v>1074</v>
      </c>
      <c r="T134" s="25">
        <v>300</v>
      </c>
      <c r="U134" s="23" t="s">
        <v>36</v>
      </c>
      <c r="V134" s="23" t="s">
        <v>1075</v>
      </c>
      <c r="W134" s="22">
        <v>1741535792</v>
      </c>
      <c r="X134" s="23"/>
      <c r="Y134" s="23"/>
      <c r="Z134" s="72">
        <v>3</v>
      </c>
    </row>
    <row r="135" spans="1:27" x14ac:dyDescent="0.25">
      <c r="A135" s="22">
        <v>129</v>
      </c>
      <c r="B135" s="23" t="s">
        <v>1076</v>
      </c>
      <c r="C135" s="23" t="s">
        <v>1077</v>
      </c>
      <c r="D135" s="23" t="s">
        <v>1078</v>
      </c>
      <c r="E135" s="23" t="s">
        <v>1079</v>
      </c>
      <c r="F135" s="23"/>
      <c r="G135" s="23" t="s">
        <v>255</v>
      </c>
      <c r="H135" s="23" t="s">
        <v>256</v>
      </c>
      <c r="I135" s="23" t="s">
        <v>1080</v>
      </c>
      <c r="J135" s="23" t="s">
        <v>1081</v>
      </c>
      <c r="K135" s="23" t="s">
        <v>1082</v>
      </c>
      <c r="L135" s="22">
        <v>12</v>
      </c>
      <c r="M135" s="22">
        <v>4</v>
      </c>
      <c r="N135" s="23" t="s">
        <v>32</v>
      </c>
      <c r="O135" s="23" t="s">
        <v>318</v>
      </c>
      <c r="P135" s="23" t="s">
        <v>34</v>
      </c>
      <c r="Q135" s="23" t="s">
        <v>156</v>
      </c>
      <c r="R135" s="23" t="s">
        <v>1083</v>
      </c>
      <c r="S135" s="23" t="s">
        <v>1084</v>
      </c>
      <c r="T135" s="25">
        <v>400</v>
      </c>
      <c r="U135" s="23" t="s">
        <v>36</v>
      </c>
      <c r="V135" s="23" t="s">
        <v>1085</v>
      </c>
      <c r="W135" s="22">
        <v>1742323392</v>
      </c>
      <c r="X135" s="23"/>
      <c r="Y135" s="23"/>
      <c r="Z135" s="72">
        <v>3</v>
      </c>
    </row>
    <row r="136" spans="1:27" x14ac:dyDescent="0.25">
      <c r="A136" s="22">
        <v>131</v>
      </c>
      <c r="B136" s="23" t="s">
        <v>1095</v>
      </c>
      <c r="C136" s="23" t="s">
        <v>1096</v>
      </c>
      <c r="D136" s="23" t="s">
        <v>1097</v>
      </c>
      <c r="E136" s="23" t="s">
        <v>1098</v>
      </c>
      <c r="F136" s="23" t="s">
        <v>1099</v>
      </c>
      <c r="G136" s="23" t="s">
        <v>255</v>
      </c>
      <c r="H136" s="23" t="s">
        <v>256</v>
      </c>
      <c r="I136" s="23" t="s">
        <v>1100</v>
      </c>
      <c r="J136" s="23" t="s">
        <v>1101</v>
      </c>
      <c r="K136" s="23" t="s">
        <v>1082</v>
      </c>
      <c r="L136" s="22">
        <v>12</v>
      </c>
      <c r="M136" s="22">
        <v>4</v>
      </c>
      <c r="N136" s="23" t="s">
        <v>32</v>
      </c>
      <c r="O136" s="23" t="s">
        <v>318</v>
      </c>
      <c r="P136" s="23" t="s">
        <v>34</v>
      </c>
      <c r="Q136" s="23" t="s">
        <v>156</v>
      </c>
      <c r="R136" s="23" t="s">
        <v>1102</v>
      </c>
      <c r="S136" s="23" t="s">
        <v>1103</v>
      </c>
      <c r="T136" s="25">
        <v>400</v>
      </c>
      <c r="U136" s="23" t="s">
        <v>36</v>
      </c>
      <c r="V136" s="23" t="s">
        <v>1104</v>
      </c>
      <c r="W136" s="22">
        <v>1742546894</v>
      </c>
      <c r="X136" s="23"/>
      <c r="Y136" s="23"/>
      <c r="Z136" s="72">
        <v>3</v>
      </c>
    </row>
    <row r="137" spans="1:27" x14ac:dyDescent="0.25">
      <c r="A137" s="40">
        <v>132</v>
      </c>
      <c r="B137" s="10" t="s">
        <v>1105</v>
      </c>
      <c r="C137" s="10" t="s">
        <v>1106</v>
      </c>
      <c r="D137" s="10" t="s">
        <v>1107</v>
      </c>
      <c r="E137" s="10" t="s">
        <v>1108</v>
      </c>
      <c r="F137" s="10"/>
      <c r="G137" s="10" t="s">
        <v>255</v>
      </c>
      <c r="H137" s="10" t="s">
        <v>256</v>
      </c>
      <c r="I137" s="10" t="s">
        <v>1109</v>
      </c>
      <c r="J137" s="10" t="s">
        <v>1110</v>
      </c>
      <c r="K137" s="10" t="s">
        <v>296</v>
      </c>
      <c r="L137" s="40">
        <v>12</v>
      </c>
      <c r="M137" s="40">
        <v>3</v>
      </c>
      <c r="N137" s="10" t="s">
        <v>32</v>
      </c>
      <c r="O137" s="10" t="s">
        <v>33</v>
      </c>
      <c r="P137" s="10" t="s">
        <v>34</v>
      </c>
      <c r="Q137" s="10" t="s">
        <v>156</v>
      </c>
      <c r="R137" s="55" t="s">
        <v>1111</v>
      </c>
      <c r="S137" s="10" t="s">
        <v>1112</v>
      </c>
      <c r="T137" s="41">
        <v>350</v>
      </c>
      <c r="U137" s="10" t="s">
        <v>36</v>
      </c>
      <c r="V137" s="10" t="s">
        <v>1113</v>
      </c>
      <c r="W137" s="40">
        <v>1742661930</v>
      </c>
      <c r="X137" s="10"/>
      <c r="Y137" s="10"/>
      <c r="Z137" s="72">
        <v>1</v>
      </c>
    </row>
    <row r="138" spans="1:27" x14ac:dyDescent="0.25">
      <c r="A138" s="22">
        <v>31</v>
      </c>
      <c r="B138" s="23" t="s">
        <v>291</v>
      </c>
      <c r="C138" s="23" t="s">
        <v>292</v>
      </c>
      <c r="D138" s="23" t="s">
        <v>293</v>
      </c>
      <c r="E138" s="23" t="s">
        <v>294</v>
      </c>
      <c r="F138" s="23"/>
      <c r="G138" s="23" t="s">
        <v>255</v>
      </c>
      <c r="H138" s="23" t="s">
        <v>295</v>
      </c>
      <c r="I138" s="23" t="s">
        <v>295</v>
      </c>
      <c r="J138" s="23" t="s">
        <v>296</v>
      </c>
      <c r="K138" s="23" t="s">
        <v>296</v>
      </c>
      <c r="L138" s="22">
        <v>34</v>
      </c>
      <c r="M138" s="22">
        <v>7</v>
      </c>
      <c r="N138" s="23" t="s">
        <v>32</v>
      </c>
      <c r="O138" s="23" t="s">
        <v>121</v>
      </c>
      <c r="P138" s="55" t="s">
        <v>700</v>
      </c>
      <c r="Q138" s="17" t="s">
        <v>121</v>
      </c>
      <c r="R138" s="24" t="s">
        <v>1185</v>
      </c>
      <c r="S138" s="23" t="s">
        <v>297</v>
      </c>
      <c r="T138" s="25">
        <v>1025</v>
      </c>
      <c r="U138" s="23" t="s">
        <v>36</v>
      </c>
      <c r="V138" s="23" t="s">
        <v>298</v>
      </c>
      <c r="W138" s="22">
        <v>1733061449</v>
      </c>
      <c r="X138" s="23"/>
      <c r="Y138" s="23"/>
      <c r="Z138" s="72">
        <v>2</v>
      </c>
    </row>
    <row r="139" spans="1:27" x14ac:dyDescent="0.25">
      <c r="A139" s="22">
        <v>50</v>
      </c>
      <c r="B139" s="23" t="s">
        <v>452</v>
      </c>
      <c r="C139" s="23" t="s">
        <v>453</v>
      </c>
      <c r="D139" s="23" t="s">
        <v>454</v>
      </c>
      <c r="E139" s="23" t="s">
        <v>455</v>
      </c>
      <c r="F139" s="23" t="s">
        <v>456</v>
      </c>
      <c r="G139" s="23" t="s">
        <v>255</v>
      </c>
      <c r="H139" s="23" t="s">
        <v>295</v>
      </c>
      <c r="I139" s="23" t="s">
        <v>457</v>
      </c>
      <c r="J139" s="42">
        <v>38738</v>
      </c>
      <c r="K139" s="43" t="s">
        <v>259</v>
      </c>
      <c r="L139" s="22">
        <v>6</v>
      </c>
      <c r="M139" s="22">
        <v>2</v>
      </c>
      <c r="N139" s="23" t="s">
        <v>32</v>
      </c>
      <c r="O139" s="23" t="s">
        <v>155</v>
      </c>
      <c r="P139" s="23" t="s">
        <v>34</v>
      </c>
      <c r="Q139" s="23" t="s">
        <v>33</v>
      </c>
      <c r="R139" s="23" t="s">
        <v>458</v>
      </c>
      <c r="S139" s="23" t="s">
        <v>459</v>
      </c>
      <c r="T139" s="25">
        <v>200</v>
      </c>
      <c r="U139" s="23" t="s">
        <v>36</v>
      </c>
      <c r="V139" s="23" t="s">
        <v>460</v>
      </c>
      <c r="W139" s="22">
        <v>1733674944</v>
      </c>
      <c r="X139" s="23"/>
      <c r="Y139" s="23"/>
      <c r="Z139" s="72">
        <v>2</v>
      </c>
    </row>
    <row r="141" spans="1:27" x14ac:dyDescent="0.25">
      <c r="L141" s="2"/>
    </row>
  </sheetData>
  <sortState xmlns:xlrd2="http://schemas.microsoft.com/office/spreadsheetml/2017/richdata2" ref="A2:W106">
    <sortCondition ref="W2:W106"/>
  </sortState>
  <hyperlinks>
    <hyperlink ref="D80" r:id="rId1" xr:uid="{1F719C02-A8D4-4539-BEDA-D6D42D4143BF}"/>
    <hyperlink ref="D84" r:id="rId2" xr:uid="{E041EF2E-2FF6-42A6-AA6F-19C96948F4C3}"/>
    <hyperlink ref="D114" r:id="rId3" xr:uid="{F0A87E68-89AA-9245-9882-461498BBF909}"/>
    <hyperlink ref="D117" r:id="rId4" xr:uid="{DDB0709F-70BB-5E49-9920-44AB417D6125}"/>
    <hyperlink ref="D12" r:id="rId5" xr:uid="{B43B347D-C659-B542-A7AD-9109AF481BC4}"/>
  </hyperlinks>
  <pageMargins left="0.7" right="0.7" top="0.75" bottom="0.75" header="0.3" footer="0.3"/>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5699-BDCD-E945-A9C9-726B4EE4D01B}">
  <dimension ref="A1:Z31"/>
  <sheetViews>
    <sheetView workbookViewId="0">
      <selection activeCell="N31" sqref="N31"/>
    </sheetView>
  </sheetViews>
  <sheetFormatPr defaultColWidth="11.42578125" defaultRowHeight="15" x14ac:dyDescent="0.25"/>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1166</v>
      </c>
      <c r="X1" s="1" t="s">
        <v>22</v>
      </c>
      <c r="Y1" s="1" t="s">
        <v>23</v>
      </c>
      <c r="Z1" s="1" t="s">
        <v>1167</v>
      </c>
    </row>
    <row r="2" spans="1:26" x14ac:dyDescent="0.25">
      <c r="A2" cm="1">
        <f t="array" ref="A2:Z19">_xlfn._xlws.FILTER('All Subcamps'!A2:Z139,'All Subcamps'!Z2:Z139=1)</f>
        <v>59</v>
      </c>
      <c r="B2" t="str">
        <v>Barbora</v>
      </c>
      <c r="C2" t="str">
        <v>Jánská</v>
      </c>
      <c r="D2" t="str">
        <v>janskabarbora@gmail.com</v>
      </c>
      <c r="E2" t="str">
        <v>+420733650318</v>
      </c>
      <c r="F2">
        <v>0</v>
      </c>
      <c r="G2" t="str">
        <v>Czech Republic</v>
      </c>
      <c r="H2" t="str">
        <v>JUNAK - cesky skaut</v>
      </c>
      <c r="I2" t="str">
        <v>Dráčata Štěnovice</v>
      </c>
      <c r="J2">
        <v>323.02</v>
      </c>
      <c r="K2" t="str">
        <v>Štěnovice</v>
      </c>
      <c r="L2">
        <v>20</v>
      </c>
      <c r="M2">
        <v>4</v>
      </c>
      <c r="N2" t="str">
        <v>Friday</v>
      </c>
      <c r="O2" t="str">
        <v>18:00 - 21:00</v>
      </c>
      <c r="P2" t="str">
        <v>Monday</v>
      </c>
      <c r="Q2" t="str">
        <v>09:00 - 12:00</v>
      </c>
      <c r="R2">
        <v>0</v>
      </c>
      <c r="S2" t="str">
        <v>IST-69112</v>
      </c>
      <c r="T2">
        <v>600</v>
      </c>
      <c r="U2" t="str">
        <v>Mollie</v>
      </c>
      <c r="V2" t="str">
        <v>2025-01-13 14:28:34</v>
      </c>
      <c r="W2">
        <v>1736778514</v>
      </c>
      <c r="X2">
        <v>0</v>
      </c>
      <c r="Y2">
        <v>0</v>
      </c>
      <c r="Z2">
        <v>1</v>
      </c>
    </row>
    <row r="3" spans="1:26" x14ac:dyDescent="0.25">
      <c r="A3">
        <v>65</v>
      </c>
      <c r="B3" t="str">
        <v>Jan</v>
      </c>
      <c r="C3" t="str">
        <v>Holoubek</v>
      </c>
      <c r="D3" t="str">
        <v>jan.holoubek@skaut.cz</v>
      </c>
      <c r="E3" t="str">
        <v>+420736149229</v>
      </c>
      <c r="F3">
        <v>0</v>
      </c>
      <c r="G3" t="str">
        <v>Czech Republic</v>
      </c>
      <c r="H3" t="str">
        <v>JUNAK - cesky skaut</v>
      </c>
      <c r="I3" t="str">
        <v>Stopa</v>
      </c>
      <c r="J3" t="str">
        <v>526.06.004</v>
      </c>
      <c r="K3" t="str">
        <v>Hradec Králové</v>
      </c>
      <c r="L3">
        <v>6</v>
      </c>
      <c r="M3">
        <v>2</v>
      </c>
      <c r="N3" t="str">
        <v>Friday</v>
      </c>
      <c r="O3" t="str">
        <v>12:00 - 15:00</v>
      </c>
      <c r="P3" t="str">
        <v>Monday</v>
      </c>
      <c r="Q3" t="str">
        <v>09:00 - 12:00</v>
      </c>
      <c r="R3" t="str">
        <v>We need to be two adults for safety reasons (two drivers). Also we both work with the troop during the year as mentors.</v>
      </c>
      <c r="S3" t="str">
        <v>IST-54674</v>
      </c>
      <c r="T3">
        <v>200</v>
      </c>
      <c r="U3" t="str">
        <v>Mollie</v>
      </c>
      <c r="V3" t="str">
        <v>2025-01-22 16:15:01</v>
      </c>
      <c r="W3">
        <v>1737562501</v>
      </c>
      <c r="X3">
        <v>0</v>
      </c>
      <c r="Y3">
        <v>0</v>
      </c>
      <c r="Z3">
        <v>1</v>
      </c>
    </row>
    <row r="4" spans="1:26" x14ac:dyDescent="0.25">
      <c r="A4">
        <v>66</v>
      </c>
      <c r="B4" t="str">
        <v>Vojtěch</v>
      </c>
      <c r="C4" t="str">
        <v>Podzimek</v>
      </c>
      <c r="D4" t="str">
        <v>podzimek.vojta@skaut.cz</v>
      </c>
      <c r="E4" t="str">
        <v>+420724144345</v>
      </c>
      <c r="F4" t="str">
        <v>Junák - český skaut, středisko Sopka Nová Paka, z. s. Svatojánská 1193 509 01 Nová Paka IČ: 60116421</v>
      </c>
      <c r="G4" t="str">
        <v>Czech Republic</v>
      </c>
      <c r="H4" t="str">
        <v>JUNAK - cesky skaut</v>
      </c>
      <c r="I4" t="str">
        <v>Sopka Nová Paka</v>
      </c>
      <c r="J4">
        <v>522.03</v>
      </c>
      <c r="K4" t="str">
        <v>NOVÁ PAKA</v>
      </c>
      <c r="L4">
        <v>20</v>
      </c>
      <c r="M4">
        <v>4</v>
      </c>
      <c r="N4" t="str">
        <v>Friday</v>
      </c>
      <c r="O4" t="str">
        <v>18:00 - 21:00</v>
      </c>
      <c r="P4" t="str">
        <v>Monday</v>
      </c>
      <c r="Q4" t="str">
        <v>09:00 - 12:00</v>
      </c>
      <c r="R4">
        <v>0</v>
      </c>
      <c r="S4" t="str">
        <v>IST-16688</v>
      </c>
      <c r="T4">
        <v>600</v>
      </c>
      <c r="U4" t="str">
        <v>Mollie</v>
      </c>
      <c r="V4" t="str">
        <v>2025-01-22 20:56:18</v>
      </c>
      <c r="W4">
        <v>1737579378</v>
      </c>
      <c r="X4">
        <v>0</v>
      </c>
      <c r="Y4">
        <v>0</v>
      </c>
      <c r="Z4">
        <v>1</v>
      </c>
    </row>
    <row r="5" spans="1:26" x14ac:dyDescent="0.25">
      <c r="A5">
        <v>100</v>
      </c>
      <c r="B5" t="str">
        <v>Filip</v>
      </c>
      <c r="C5" t="str">
        <v>Fišer</v>
      </c>
      <c r="D5" t="str">
        <v>fiser-filip@seznam.cz</v>
      </c>
      <c r="E5" t="str">
        <v>+420731993016</v>
      </c>
      <c r="F5" t="str">
        <v>Junák - český skaut, středisko Vamberk, z. s. Ič.: 42885311 V Lukách 598, 517 54 Vamberk</v>
      </c>
      <c r="G5" t="str">
        <v>Czech Republic</v>
      </c>
      <c r="H5" t="str">
        <v>JUNAK - cesky skaut</v>
      </c>
      <c r="I5" t="str">
        <v>2. Oddíl (DSS)</v>
      </c>
      <c r="J5" t="str">
        <v>524.09.002</v>
      </c>
      <c r="K5" t="str">
        <v>Vamberk</v>
      </c>
      <c r="L5">
        <v>6</v>
      </c>
      <c r="M5">
        <v>2</v>
      </c>
      <c r="N5" t="str">
        <v>Friday</v>
      </c>
      <c r="O5" t="str">
        <v>09:00 - 12:00</v>
      </c>
      <c r="P5" t="str">
        <v>Monday</v>
      </c>
      <c r="Q5" t="str">
        <v>09:00 - 12:00</v>
      </c>
      <c r="R5" t="str">
        <v>the second leader Jaroslav Vašátko  +420 733 580 760 jaroslav.vasatko@seznam.cz</v>
      </c>
      <c r="S5" t="str">
        <v>IST-21179</v>
      </c>
      <c r="T5">
        <v>200</v>
      </c>
      <c r="U5" t="str">
        <v>Mollie</v>
      </c>
      <c r="V5" t="str">
        <v>2025-02-07 14:42:26</v>
      </c>
      <c r="W5">
        <v>1738939346</v>
      </c>
      <c r="X5">
        <v>0</v>
      </c>
      <c r="Y5">
        <v>0</v>
      </c>
      <c r="Z5">
        <v>1</v>
      </c>
    </row>
    <row r="6" spans="1:26" x14ac:dyDescent="0.25">
      <c r="A6">
        <v>57</v>
      </c>
      <c r="B6" t="str">
        <v>Ulrich</v>
      </c>
      <c r="C6" t="str">
        <v>Maurach</v>
      </c>
      <c r="D6" t="str">
        <v>mail@ulrich-maurach.de</v>
      </c>
      <c r="E6" t="str">
        <v>+491713141429</v>
      </c>
      <c r="F6" t="str">
        <v>Team!  I’m a german father (born in HH) of a 14 year old daughter and made my promise as a British Scout in Celle, Lower Saxony (Niedersachsen) during the 80’s. A became a Venture Scout during that time and attended only one Intercamp – must have been near the river Rhine close to Bernkastel-Kues.  This year I would like to attend the Intercamp, to show my daughter, what a wonderful movement scouting is. I do offer being a ‘helper’ during the event where ever it is needed.  So – is it possible to attend with 1 tent and two persons?  I hope to hear from you - Ulrich   Ulrich Maurach M +49171 3141429 mail@ulrich-maurach.de</v>
      </c>
      <c r="G6" t="str">
        <v>GB</v>
      </c>
      <c r="H6" t="str">
        <v>BSO</v>
      </c>
      <c r="I6" t="str">
        <v>Ulrich Maurach</v>
      </c>
      <c r="J6" t="str">
        <v>-/-</v>
      </c>
      <c r="K6" t="str">
        <v>Berlin</v>
      </c>
      <c r="L6">
        <v>1</v>
      </c>
      <c r="M6">
        <v>1</v>
      </c>
      <c r="N6" t="str">
        <v>Friday</v>
      </c>
      <c r="O6" t="str">
        <v>15:00 - 18:00</v>
      </c>
      <c r="P6" t="str">
        <v>Monday</v>
      </c>
      <c r="Q6" t="str">
        <v>12:00 - 15:00</v>
      </c>
      <c r="R6" t="str">
        <v>Team!  I’m a german father (born in HH) of a 14 year old daughter and made my promise as a British Scout in Celle, Lower Saxony (Niedersachsen) during the 80’s. A became a Venture Scout during that time and attended only one Intercamp – must have been near the river Rhine close to Bernkastel-Kues.  This year I would like to attend the Intercamp, to show my daughter, what a wonderful movement scouting is. I do offer being a ‘helper’ during the event where ever it is needed.  So – is it possible to attend with 1 tent and two persons?  I hope to hear from you - Ulrich   Ulrich Maurach M +49171 3141429 mail@ulrich-maurach.de</v>
      </c>
      <c r="S6" t="str">
        <v>IST-45306</v>
      </c>
      <c r="T6">
        <v>50</v>
      </c>
      <c r="U6" t="str">
        <v>Mollie</v>
      </c>
      <c r="V6" t="str">
        <v>2025-01-09 08:35:01</v>
      </c>
      <c r="W6">
        <v>1736411701</v>
      </c>
      <c r="X6">
        <v>0</v>
      </c>
      <c r="Y6">
        <v>0</v>
      </c>
      <c r="Z6">
        <v>1</v>
      </c>
    </row>
    <row r="7" spans="1:26" x14ac:dyDescent="0.25">
      <c r="A7">
        <v>22</v>
      </c>
      <c r="B7" t="str">
        <v>Robin</v>
      </c>
      <c r="C7" t="str">
        <v>Bandini</v>
      </c>
      <c r="D7" t="str">
        <v>vorstand@pfadfinder-bammental.de</v>
      </c>
      <c r="E7" t="str">
        <v>+491627911091</v>
      </c>
      <c r="F7">
        <v>0</v>
      </c>
      <c r="G7" t="str">
        <v>Germany</v>
      </c>
      <c r="H7" t="str">
        <v>Deutsche Pfadfinderschaft Sankt Georg</v>
      </c>
      <c r="I7" t="str">
        <v>Stamm Karl Leisner</v>
      </c>
      <c r="J7">
        <v>3363</v>
      </c>
      <c r="K7" t="str">
        <v>Bammental</v>
      </c>
      <c r="L7">
        <v>14</v>
      </c>
      <c r="M7">
        <v>3</v>
      </c>
      <c r="N7" t="str">
        <v>Friday</v>
      </c>
      <c r="O7" t="str">
        <v>18:00 - 21:00</v>
      </c>
      <c r="P7" t="str">
        <v>Monday</v>
      </c>
      <c r="Q7" t="str">
        <v>12:00 - 15:00</v>
      </c>
      <c r="R7">
        <v>0</v>
      </c>
      <c r="S7" t="str">
        <v>IST-11133</v>
      </c>
      <c r="T7">
        <v>425</v>
      </c>
      <c r="U7" t="str">
        <v>Mollie</v>
      </c>
      <c r="V7" t="str">
        <v>2024-11-30 23:33:26</v>
      </c>
      <c r="W7">
        <v>1733009606</v>
      </c>
      <c r="X7">
        <v>0</v>
      </c>
      <c r="Y7">
        <v>0</v>
      </c>
      <c r="Z7">
        <v>1</v>
      </c>
    </row>
    <row r="8" spans="1:26" x14ac:dyDescent="0.25">
      <c r="A8">
        <v>24</v>
      </c>
      <c r="B8" t="str">
        <v>Martin</v>
      </c>
      <c r="C8" t="str">
        <v>Babst</v>
      </c>
      <c r="D8" t="str">
        <v>martin.babst@web.de</v>
      </c>
      <c r="E8" t="str">
        <v>+4915126957577</v>
      </c>
      <c r="F8">
        <v>0</v>
      </c>
      <c r="G8" t="str">
        <v>Germany</v>
      </c>
      <c r="H8" t="str">
        <v>Deutsche Pfadfinderschaft Sankt Georg</v>
      </c>
      <c r="I8" t="str">
        <v>Maximilan Kolbe Lammersdorf</v>
      </c>
      <c r="J8" t="str">
        <v>010607</v>
      </c>
      <c r="K8" t="str">
        <v>Aachen</v>
      </c>
      <c r="L8">
        <v>48</v>
      </c>
      <c r="M8">
        <v>9</v>
      </c>
      <c r="N8" t="str">
        <v>Friday</v>
      </c>
      <c r="O8" t="str">
        <v>12:00 - 15:00</v>
      </c>
      <c r="P8" t="str">
        <v>Monday</v>
      </c>
      <c r="Q8" t="str">
        <v>12:00 - 15:00</v>
      </c>
      <c r="R8">
        <v>0</v>
      </c>
      <c r="S8" t="str">
        <v>IST-11133</v>
      </c>
      <c r="T8">
        <v>1425</v>
      </c>
      <c r="U8" t="str">
        <v>Mollie</v>
      </c>
      <c r="V8" t="str">
        <v>2024-12-01 00:20:50</v>
      </c>
      <c r="W8">
        <v>1733012451</v>
      </c>
      <c r="X8">
        <v>0</v>
      </c>
      <c r="Y8">
        <v>0</v>
      </c>
      <c r="Z8">
        <v>1</v>
      </c>
    </row>
    <row r="9" spans="1:26" x14ac:dyDescent="0.25">
      <c r="A9">
        <v>18</v>
      </c>
      <c r="B9" t="str">
        <v>Nigel</v>
      </c>
      <c r="C9" t="str">
        <v>Fleetwood</v>
      </c>
      <c r="D9" t="str">
        <v>agsl2-6thgosport@gosportscouts.org.uk</v>
      </c>
      <c r="E9" t="str">
        <v>+447812674516</v>
      </c>
      <c r="F9" t="str">
        <v>6th Gosport Air Scout Group</v>
      </c>
      <c r="G9" t="str">
        <v>GB</v>
      </c>
      <c r="H9" t="str">
        <v>BSO</v>
      </c>
      <c r="I9" t="str">
        <v>6th Gosport Air Scout Group</v>
      </c>
      <c r="J9" t="str">
        <v>6th</v>
      </c>
      <c r="K9" t="str">
        <v>Gosport</v>
      </c>
      <c r="L9">
        <v>17</v>
      </c>
      <c r="M9">
        <v>5</v>
      </c>
      <c r="N9" t="str">
        <v>Friday</v>
      </c>
      <c r="O9" t="str">
        <v>12:00 - 15:00</v>
      </c>
      <c r="P9" t="str">
        <v>Monday</v>
      </c>
      <c r="Q9" t="str">
        <v>12:00 - 15:00</v>
      </c>
      <c r="R9">
        <v>0</v>
      </c>
      <c r="S9" t="str">
        <v>IST-11133</v>
      </c>
      <c r="T9">
        <v>550</v>
      </c>
      <c r="U9" t="str">
        <v>Mollie</v>
      </c>
      <c r="V9" t="str">
        <v>2024-11-30 23:11:03</v>
      </c>
      <c r="W9">
        <v>1733008263</v>
      </c>
      <c r="X9">
        <v>0</v>
      </c>
      <c r="Y9">
        <v>0</v>
      </c>
      <c r="Z9">
        <v>1</v>
      </c>
    </row>
    <row r="10" spans="1:26" x14ac:dyDescent="0.25">
      <c r="A10">
        <v>92</v>
      </c>
      <c r="B10" t="str">
        <v>Patryk</v>
      </c>
      <c r="C10" t="str">
        <v>Konieczny</v>
      </c>
      <c r="D10" t="str">
        <v>patryk.konieczny@zhp.net.pl</v>
      </c>
      <c r="E10" t="str">
        <v>+48501679756</v>
      </c>
      <c r="F10">
        <v>0</v>
      </c>
      <c r="G10" t="str">
        <v>Poland</v>
      </c>
      <c r="H10" t="str">
        <v>Zwiazek Harcerstwa Polskiego</v>
      </c>
      <c r="I10" t="str">
        <v>Czarne Siódemki</v>
      </c>
      <c r="J10">
        <v>347</v>
      </c>
      <c r="K10" t="str">
        <v>Cieszyn</v>
      </c>
      <c r="L10">
        <v>12</v>
      </c>
      <c r="M10">
        <v>2</v>
      </c>
      <c r="N10" t="str">
        <v>Friday</v>
      </c>
      <c r="O10" t="str">
        <v>15:00 - 18:00</v>
      </c>
      <c r="P10" t="str">
        <v>Monday</v>
      </c>
      <c r="Q10" t="str">
        <v>09:00 - 12:00</v>
      </c>
      <c r="R10" t="str">
        <v>We would like to be as close as possible on intercamp campsite to our friendly scout team called Watrzaki. Thanks in advance.</v>
      </c>
      <c r="S10" t="str">
        <v>IST-10906</v>
      </c>
      <c r="T10">
        <v>350</v>
      </c>
      <c r="U10" t="str">
        <v>Mollie</v>
      </c>
      <c r="V10" t="str">
        <v>2025-02-05 12:39:54</v>
      </c>
      <c r="W10">
        <v>1738759194</v>
      </c>
      <c r="X10">
        <v>0</v>
      </c>
      <c r="Y10">
        <v>0</v>
      </c>
      <c r="Z10">
        <v>1</v>
      </c>
    </row>
    <row r="11" spans="1:26" x14ac:dyDescent="0.25">
      <c r="A11">
        <v>110</v>
      </c>
      <c r="B11" t="str">
        <v>Damian</v>
      </c>
      <c r="C11" t="str">
        <v>Wojciechowski</v>
      </c>
      <c r="D11" t="str">
        <v>damian.wojciechowski@zhp.net.pl</v>
      </c>
      <c r="E11" t="str">
        <v>+48530259321</v>
      </c>
      <c r="F11">
        <v>0</v>
      </c>
      <c r="G11" t="str">
        <v>Poland</v>
      </c>
      <c r="H11" t="str">
        <v>Zwiazek Harcerstwa Polskiego</v>
      </c>
      <c r="I11" t="str">
        <v>7 DH Arkana</v>
      </c>
      <c r="J11">
        <v>7</v>
      </c>
      <c r="K11" t="str">
        <v>Ząbki</v>
      </c>
      <c r="L11">
        <v>15</v>
      </c>
      <c r="M11">
        <v>2</v>
      </c>
      <c r="N11" t="str">
        <v>Friday</v>
      </c>
      <c r="O11" t="str">
        <v>15:00 - 18:00</v>
      </c>
      <c r="P11" t="str">
        <v>Monday</v>
      </c>
      <c r="Q11" t="str">
        <v>09:00 - 12:00</v>
      </c>
      <c r="R11">
        <v>0</v>
      </c>
      <c r="S11" t="str">
        <v>IST-20119</v>
      </c>
      <c r="T11">
        <v>425</v>
      </c>
      <c r="U11" t="str">
        <v>Mollie</v>
      </c>
      <c r="V11" t="str">
        <v>2025-02-16 21:44:20</v>
      </c>
      <c r="W11">
        <v>1739742260</v>
      </c>
      <c r="X11">
        <v>0</v>
      </c>
      <c r="Y11">
        <v>0</v>
      </c>
      <c r="Z11">
        <v>1</v>
      </c>
    </row>
    <row r="12" spans="1:26" x14ac:dyDescent="0.25">
      <c r="A12">
        <v>114</v>
      </c>
      <c r="B12" t="str">
        <v xml:space="preserve">Emilia </v>
      </c>
      <c r="C12" t="str">
        <v>Skrzypek</v>
      </c>
      <c r="D12" t="str">
        <v>emilia.skrzypek@zhp.net.pl</v>
      </c>
      <c r="E12" t="str">
        <v>+48530259321</v>
      </c>
      <c r="F12">
        <v>0</v>
      </c>
      <c r="G12" t="str">
        <v>Poland</v>
      </c>
      <c r="H12" t="str">
        <v>Zwiazek Harcerstwa Polskiego</v>
      </c>
      <c r="I12" t="str">
        <v>Czata wymiata</v>
      </c>
      <c r="J12">
        <v>19</v>
      </c>
      <c r="K12" t="str">
        <v>Mosina</v>
      </c>
      <c r="L12">
        <v>15</v>
      </c>
      <c r="M12">
        <v>2</v>
      </c>
      <c r="N12" t="str">
        <v>Friday</v>
      </c>
      <c r="O12" t="str">
        <v>15:00 - 18:00</v>
      </c>
      <c r="P12" t="str">
        <v>Monday</v>
      </c>
      <c r="Q12" t="str">
        <v>09:00 - 12:00</v>
      </c>
      <c r="R12">
        <v>0</v>
      </c>
      <c r="S12" t="str">
        <v>IST-96201</v>
      </c>
      <c r="T12">
        <v>425</v>
      </c>
      <c r="U12" t="str">
        <v>Mollie</v>
      </c>
      <c r="V12" t="str">
        <v>2025-02-23 18:30:20</v>
      </c>
      <c r="W12">
        <v>1740335420</v>
      </c>
      <c r="X12">
        <v>0</v>
      </c>
      <c r="Y12">
        <v>0</v>
      </c>
      <c r="Z12">
        <v>1</v>
      </c>
    </row>
    <row r="13" spans="1:26" x14ac:dyDescent="0.25">
      <c r="A13">
        <v>120</v>
      </c>
      <c r="B13" t="str">
        <v>Izabela</v>
      </c>
      <c r="C13" t="str">
        <v>Kucmin-Bemelmans</v>
      </c>
      <c r="D13" t="str">
        <v>izabela.kucmin-bemelmans@zhp.net.pl</v>
      </c>
      <c r="E13" t="str">
        <v>+48692277074</v>
      </c>
      <c r="F13">
        <v>0</v>
      </c>
      <c r="G13" t="str">
        <v>Poland</v>
      </c>
      <c r="H13" t="str">
        <v>Zwiazek Harcerstwa Polskiego</v>
      </c>
      <c r="I13" t="str">
        <v>Skalne Nietoperze</v>
      </c>
      <c r="J13">
        <v>89</v>
      </c>
      <c r="K13" t="str">
        <v>Biały Kościół</v>
      </c>
      <c r="L13">
        <v>15</v>
      </c>
      <c r="M13">
        <v>2</v>
      </c>
      <c r="N13" t="str">
        <v>Friday</v>
      </c>
      <c r="O13" t="str">
        <v>15:00 - 18:00</v>
      </c>
      <c r="P13" t="str">
        <v>Monday</v>
      </c>
      <c r="Q13" t="str">
        <v>09:00 - 12:00</v>
      </c>
      <c r="R13">
        <v>0</v>
      </c>
      <c r="S13" t="str">
        <v>IST-18955</v>
      </c>
      <c r="T13">
        <v>425</v>
      </c>
      <c r="U13" t="str">
        <v>Mollie</v>
      </c>
      <c r="V13" t="str">
        <v>2025-02-23 19:26:55</v>
      </c>
      <c r="W13">
        <v>1740338815</v>
      </c>
      <c r="X13">
        <v>0</v>
      </c>
      <c r="Y13">
        <v>0</v>
      </c>
      <c r="Z13">
        <v>1</v>
      </c>
    </row>
    <row r="14" spans="1:26" x14ac:dyDescent="0.25">
      <c r="A14">
        <v>121</v>
      </c>
      <c r="B14" t="str">
        <v>Sabina</v>
      </c>
      <c r="C14" t="str">
        <v>Konieczny</v>
      </c>
      <c r="D14" t="str">
        <v>sabina.konieczny@zhp.net.pl</v>
      </c>
      <c r="E14" t="str">
        <v>+48</v>
      </c>
      <c r="F14">
        <v>0</v>
      </c>
      <c r="G14" t="str">
        <v>Poland</v>
      </c>
      <c r="H14" t="str">
        <v>Zwiazek Harcerstwa Polskiego</v>
      </c>
      <c r="I14" t="str">
        <v>Watrzaki</v>
      </c>
      <c r="J14">
        <v>25</v>
      </c>
      <c r="K14" t="str">
        <v>Brenna</v>
      </c>
      <c r="L14">
        <v>11</v>
      </c>
      <c r="M14">
        <v>1</v>
      </c>
      <c r="N14" t="str">
        <v>Friday</v>
      </c>
      <c r="O14" t="str">
        <v>18:00 - 21:00</v>
      </c>
      <c r="P14" t="str">
        <v>Monday</v>
      </c>
      <c r="Q14" t="str">
        <v>09:00 - 12:00</v>
      </c>
      <c r="R14" t="str">
        <v>We come to intercamp with "Czarne Siódemki" team and we ask you to be together at the camp.</v>
      </c>
      <c r="S14" t="str">
        <v>IST-18013</v>
      </c>
      <c r="T14">
        <v>300</v>
      </c>
      <c r="U14" t="str">
        <v>Mollie</v>
      </c>
      <c r="V14" t="str">
        <v>2025-02-23 19:35:56</v>
      </c>
      <c r="W14">
        <v>1740339356</v>
      </c>
      <c r="X14">
        <v>0</v>
      </c>
      <c r="Y14">
        <v>0</v>
      </c>
      <c r="Z14">
        <v>1</v>
      </c>
    </row>
    <row r="15" spans="1:26" x14ac:dyDescent="0.25">
      <c r="A15">
        <v>13</v>
      </c>
      <c r="B15" t="str">
        <v>Jorn</v>
      </c>
      <c r="C15" t="str">
        <v>Weijs</v>
      </c>
      <c r="D15" t="str">
        <v>jorn.weijs1997@live.nl</v>
      </c>
      <c r="E15" t="str">
        <v>+31620385792</v>
      </c>
      <c r="F15">
        <v>0</v>
      </c>
      <c r="G15" t="str">
        <v>The Netherlands</v>
      </c>
      <c r="H15" t="str">
        <v>Scouting Nederland</v>
      </c>
      <c r="I15" t="str">
        <v>De Peelspeurders</v>
      </c>
      <c r="J15">
        <v>1475</v>
      </c>
      <c r="K15" t="str">
        <v>Venray</v>
      </c>
      <c r="L15">
        <v>40</v>
      </c>
      <c r="M15">
        <v>8</v>
      </c>
      <c r="N15" t="str">
        <v>Friday</v>
      </c>
      <c r="O15" t="str">
        <v>12:00 - 15:00</v>
      </c>
      <c r="P15" t="str">
        <v>Monday</v>
      </c>
      <c r="Q15" t="str">
        <v>12:00 - 15:00</v>
      </c>
      <c r="R15">
        <v>0</v>
      </c>
      <c r="S15" t="str">
        <v>IST-27230</v>
      </c>
      <c r="T15">
        <v>1200</v>
      </c>
      <c r="U15" t="str">
        <v>Mollie</v>
      </c>
      <c r="V15" t="str">
        <v>2024-11-30 20:01:30</v>
      </c>
      <c r="W15">
        <v>1732996890</v>
      </c>
      <c r="X15">
        <v>0</v>
      </c>
      <c r="Y15">
        <v>0</v>
      </c>
      <c r="Z15">
        <v>1</v>
      </c>
    </row>
    <row r="16" spans="1:26" x14ac:dyDescent="0.25">
      <c r="A16">
        <v>54</v>
      </c>
      <c r="B16" t="str">
        <v>Marinus</v>
      </c>
      <c r="C16" t="str">
        <v>Hovius</v>
      </c>
      <c r="D16" t="str">
        <v>marinusfj@gmail.com</v>
      </c>
      <c r="E16" t="str">
        <v>+31641222084</v>
      </c>
      <c r="F16">
        <v>0</v>
      </c>
      <c r="G16" t="str">
        <v>The Netherlands</v>
      </c>
      <c r="H16" t="str">
        <v>Scouting Nederland</v>
      </c>
      <c r="I16" t="str">
        <v>Scouting Den Oever</v>
      </c>
      <c r="J16">
        <v>1234</v>
      </c>
      <c r="K16" t="str">
        <v>Den Oever</v>
      </c>
      <c r="L16">
        <v>25</v>
      </c>
      <c r="M16">
        <v>5</v>
      </c>
      <c r="N16" t="str">
        <v>Friday</v>
      </c>
      <c r="O16" t="str">
        <v>12:00 - 15:00</v>
      </c>
      <c r="P16" t="str">
        <v>Monday</v>
      </c>
      <c r="Q16" t="str">
        <v>12:00 - 15:00</v>
      </c>
      <c r="R16">
        <v>0</v>
      </c>
      <c r="S16" t="str">
        <v>IST-13297</v>
      </c>
      <c r="T16">
        <v>750</v>
      </c>
      <c r="U16" t="str">
        <v>Mollie</v>
      </c>
      <c r="V16" t="str">
        <v>2024-12-20 13:03:49</v>
      </c>
      <c r="W16">
        <v>1734699829</v>
      </c>
      <c r="X16">
        <v>0</v>
      </c>
      <c r="Y16">
        <v>0</v>
      </c>
      <c r="Z16">
        <v>1</v>
      </c>
    </row>
    <row r="17" spans="1:26" x14ac:dyDescent="0.25">
      <c r="A17">
        <v>113</v>
      </c>
      <c r="B17" t="str">
        <v>Rick</v>
      </c>
      <c r="C17" t="str">
        <v>Galeano</v>
      </c>
      <c r="D17" t="str">
        <v>rick_galeano@hotmail.com</v>
      </c>
      <c r="E17" t="str">
        <v>+491745407463</v>
      </c>
      <c r="F17">
        <v>0</v>
      </c>
      <c r="G17" t="str">
        <v>United States</v>
      </c>
      <c r="H17" t="str">
        <v>Boy Scouts of America - Transatlantic Council</v>
      </c>
      <c r="I17" t="str">
        <v>Panzer Troop 44</v>
      </c>
      <c r="J17">
        <v>44</v>
      </c>
      <c r="K17" t="str">
        <v>Boeblingen</v>
      </c>
      <c r="L17">
        <v>10</v>
      </c>
      <c r="M17">
        <v>6</v>
      </c>
      <c r="N17" t="str">
        <v>Friday</v>
      </c>
      <c r="O17" t="str">
        <v>18:00 - 21:00</v>
      </c>
      <c r="P17" t="str">
        <v>Monday</v>
      </c>
      <c r="Q17" t="str">
        <v>09:00 - 12:00</v>
      </c>
      <c r="R17">
        <v>0</v>
      </c>
      <c r="S17" t="str">
        <v>IST-17058</v>
      </c>
      <c r="T17">
        <v>400</v>
      </c>
      <c r="U17" t="str">
        <v>Mollie</v>
      </c>
      <c r="V17" t="str">
        <v>2025-02-23 17:37:11</v>
      </c>
      <c r="W17">
        <v>1740332231</v>
      </c>
      <c r="X17">
        <v>0</v>
      </c>
      <c r="Y17">
        <v>0</v>
      </c>
      <c r="Z17">
        <v>1</v>
      </c>
    </row>
    <row r="18" spans="1:26" x14ac:dyDescent="0.25">
      <c r="A18">
        <v>125</v>
      </c>
      <c r="B18" t="str">
        <v>Roberto</v>
      </c>
      <c r="C18" t="str">
        <v>Baltazar</v>
      </c>
      <c r="D18" t="str">
        <v>bltzrr@gmail.com</v>
      </c>
      <c r="E18" t="str">
        <v>+494915117534988</v>
      </c>
      <c r="F18">
        <v>0</v>
      </c>
      <c r="G18" t="str">
        <v>United States</v>
      </c>
      <c r="H18" t="str">
        <v>Boy Scouts of America - Transatlantic Council</v>
      </c>
      <c r="I18" t="str">
        <v>Radioactive</v>
      </c>
      <c r="J18">
        <v>156</v>
      </c>
      <c r="K18" t="str">
        <v>Ramstein</v>
      </c>
      <c r="L18">
        <v>7</v>
      </c>
      <c r="M18">
        <v>3</v>
      </c>
      <c r="N18" t="str">
        <v>Friday</v>
      </c>
      <c r="O18" t="str">
        <v>18:00 - 21:00</v>
      </c>
      <c r="P18" t="str">
        <v>Monday</v>
      </c>
      <c r="Q18" t="str">
        <v>09:00 - 12:00</v>
      </c>
      <c r="R18">
        <v>0</v>
      </c>
      <c r="S18" t="str">
        <v>IST-12623</v>
      </c>
      <c r="T18">
        <v>250</v>
      </c>
      <c r="U18" t="str">
        <v>Mollie</v>
      </c>
      <c r="V18" t="str">
        <v>2025-02-25 20:47:16</v>
      </c>
      <c r="W18">
        <v>1740516436</v>
      </c>
      <c r="X18">
        <v>0</v>
      </c>
      <c r="Y18">
        <v>0</v>
      </c>
      <c r="Z18">
        <v>1</v>
      </c>
    </row>
    <row r="19" spans="1:26" x14ac:dyDescent="0.25">
      <c r="A19">
        <v>132</v>
      </c>
      <c r="B19" t="str">
        <v>Henry</v>
      </c>
      <c r="C19" t="str">
        <v>Williams</v>
      </c>
      <c r="D19" t="str">
        <v>tomnkt98@gmail.com</v>
      </c>
      <c r="E19" t="str">
        <v>+14104249248</v>
      </c>
      <c r="F19">
        <v>0</v>
      </c>
      <c r="G19" t="str">
        <v>United States</v>
      </c>
      <c r="H19" t="str">
        <v>Boy Scouts of America - Transatlantic Council</v>
      </c>
      <c r="I19" t="str">
        <v>Scout Troop 154 (Boys)</v>
      </c>
      <c r="J19" t="str">
        <v>Troop 0154 (BT)</v>
      </c>
      <c r="K19" t="str">
        <v>Stuttgart</v>
      </c>
      <c r="L19">
        <v>12</v>
      </c>
      <c r="M19">
        <v>3</v>
      </c>
      <c r="N19" t="str">
        <v>Friday</v>
      </c>
      <c r="O19" t="str">
        <v>12:00 - 15:00</v>
      </c>
      <c r="P19" t="str">
        <v>Monday</v>
      </c>
      <c r="Q19" t="str">
        <v>09:00 - 12:00</v>
      </c>
      <c r="R19" t="str">
        <v>We also have a scout who paid with Troop 324, also from Stuttgart, but transferred to our troop. Please add that individual to our count so we are provided the correct number of camping slots, wristbands, patches, etc.  Using three adults to assist with transportation of scouts and gear. Most of our scouts are on the the younger side, so the extra leader will help.</v>
      </c>
      <c r="S19" t="str">
        <v>IST-17804</v>
      </c>
      <c r="T19">
        <v>350</v>
      </c>
      <c r="U19" t="str">
        <v>Mollie</v>
      </c>
      <c r="V19" t="str">
        <v>2025-03-22 16:45:29</v>
      </c>
      <c r="W19">
        <v>1742661930</v>
      </c>
      <c r="X19">
        <v>0</v>
      </c>
      <c r="Y19">
        <v>0</v>
      </c>
      <c r="Z19">
        <v>1</v>
      </c>
    </row>
    <row r="31" spans="1:26" x14ac:dyDescent="0.25">
      <c r="L31">
        <f>SUM(L2:L20)</f>
        <v>294</v>
      </c>
      <c r="M31">
        <f>SUM(M2:M20)</f>
        <v>64</v>
      </c>
      <c r="N31">
        <f>L31+M31</f>
        <v>358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F907-4412-A54F-90EA-F22748CBE761}">
  <dimension ref="A1:Z58"/>
  <sheetViews>
    <sheetView topLeftCell="E4" workbookViewId="0">
      <selection activeCell="N58" sqref="N58"/>
    </sheetView>
  </sheetViews>
  <sheetFormatPr defaultColWidth="11.42578125" defaultRowHeight="15" x14ac:dyDescent="0.25"/>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1166</v>
      </c>
      <c r="X1" s="1" t="s">
        <v>22</v>
      </c>
      <c r="Y1" s="1" t="s">
        <v>23</v>
      </c>
      <c r="Z1" s="1" t="s">
        <v>1167</v>
      </c>
    </row>
    <row r="2" spans="1:26" x14ac:dyDescent="0.25">
      <c r="A2" cm="1">
        <f t="array" ref="A2:Z48">_xlfn._xlws.FILTER('All Subcamps'!A2:Z139,'All Subcamps'!Z2:Z139=2)</f>
        <v>33</v>
      </c>
      <c r="B2" t="str">
        <v>Joseph</v>
      </c>
      <c r="C2" t="str">
        <v>Monk</v>
      </c>
      <c r="D2" t="str">
        <v>joe.monk@britishscoutingoverseas.org.uk</v>
      </c>
      <c r="E2" t="str">
        <v>+32484266960</v>
      </c>
      <c r="F2">
        <v>0</v>
      </c>
      <c r="G2" t="str">
        <v>Belgium</v>
      </c>
      <c r="H2" t="str">
        <v>FOS Open Scouting</v>
      </c>
      <c r="I2" t="str">
        <v>Central Brussels Scouts</v>
      </c>
      <c r="J2" t="str">
        <v>112e</v>
      </c>
      <c r="K2" t="str">
        <v>Brussels</v>
      </c>
      <c r="L2">
        <v>15</v>
      </c>
      <c r="M2">
        <v>5</v>
      </c>
      <c r="N2" t="str">
        <v>Friday</v>
      </c>
      <c r="O2" t="str">
        <v>21:00 - 00:00</v>
      </c>
      <c r="P2" t="str">
        <v>Monday</v>
      </c>
      <c r="Q2" t="str">
        <v>15:00 - 18:00</v>
      </c>
      <c r="R2" t="str">
        <v>Arrival and Departure times are estimates.  2 additional Scouters needed due to logistical requirements to transport youth and equipment.</v>
      </c>
      <c r="S2" t="str">
        <v>IST-18979</v>
      </c>
      <c r="T2">
        <v>500</v>
      </c>
      <c r="U2" t="str">
        <v>Mollie</v>
      </c>
      <c r="V2" t="str">
        <v>2024-12-02 09:42:04</v>
      </c>
      <c r="W2">
        <v>1733132524</v>
      </c>
      <c r="X2">
        <v>0</v>
      </c>
      <c r="Y2">
        <v>0</v>
      </c>
      <c r="Z2">
        <v>2</v>
      </c>
    </row>
    <row r="3" spans="1:26" x14ac:dyDescent="0.25">
      <c r="A3">
        <v>30</v>
      </c>
      <c r="B3" t="str">
        <v>Jonathan</v>
      </c>
      <c r="C3" t="str">
        <v>Copner</v>
      </c>
      <c r="D3" t="str">
        <v>jon.copner@britishscoutingoverseas.org.uk</v>
      </c>
      <c r="E3" t="str">
        <v>+32</v>
      </c>
      <c r="F3" t="str">
        <v>Grootveldlaan 12, 3080 Tervuren, Belgium</v>
      </c>
      <c r="G3" t="str">
        <v>Belgium</v>
      </c>
      <c r="H3" t="str">
        <v>FOS Open Scouting</v>
      </c>
      <c r="I3" t="str">
        <v>Brussels Explorers</v>
      </c>
      <c r="J3" t="str">
        <v>FOS111</v>
      </c>
      <c r="K3" t="str">
        <v>Tervuren</v>
      </c>
      <c r="L3">
        <v>12</v>
      </c>
      <c r="M3">
        <v>3</v>
      </c>
      <c r="N3" t="str">
        <v>Friday</v>
      </c>
      <c r="O3" t="str">
        <v>18:00 - 21:00</v>
      </c>
      <c r="P3" t="str">
        <v>Monday</v>
      </c>
      <c r="Q3" t="str">
        <v>12:00 - 15:00</v>
      </c>
      <c r="R3" t="str">
        <v>3 leaders - 3 vehicles required</v>
      </c>
      <c r="S3" t="str">
        <v>IST-95976</v>
      </c>
      <c r="T3">
        <v>375</v>
      </c>
      <c r="U3" t="str">
        <v>Mollie</v>
      </c>
      <c r="V3" t="str">
        <v>2024-12-01 12:56:03</v>
      </c>
      <c r="W3">
        <v>1733057763</v>
      </c>
      <c r="X3">
        <v>0</v>
      </c>
      <c r="Y3">
        <v>0</v>
      </c>
      <c r="Z3">
        <v>2</v>
      </c>
    </row>
    <row r="4" spans="1:26" x14ac:dyDescent="0.25">
      <c r="A4">
        <v>62</v>
      </c>
      <c r="B4" t="str">
        <v>Lenka</v>
      </c>
      <c r="C4" t="str">
        <v>Hechtová</v>
      </c>
      <c r="D4" t="str">
        <v>lenkalischkova@gmail.com</v>
      </c>
      <c r="E4" t="str">
        <v>+420607881402</v>
      </c>
      <c r="F4">
        <v>0</v>
      </c>
      <c r="G4" t="str">
        <v>Czech Republic</v>
      </c>
      <c r="H4" t="str">
        <v>JUNAK - cesky skaut</v>
      </c>
      <c r="I4" t="str">
        <v>Core</v>
      </c>
      <c r="J4" t="str">
        <v>511.02.004</v>
      </c>
      <c r="K4" t="str">
        <v>Nový Bor</v>
      </c>
      <c r="L4">
        <v>20</v>
      </c>
      <c r="M4">
        <v>4</v>
      </c>
      <c r="N4" t="str">
        <v>Friday</v>
      </c>
      <c r="O4" t="str">
        <v>18:00 - 21:00</v>
      </c>
      <c r="P4" t="str">
        <v>Monday</v>
      </c>
      <c r="Q4" t="str">
        <v>09:00 - 12:00</v>
      </c>
      <c r="R4">
        <v>0</v>
      </c>
      <c r="S4" t="str">
        <v>IST-18688</v>
      </c>
      <c r="T4">
        <v>600</v>
      </c>
      <c r="U4" t="str">
        <v>Mollie</v>
      </c>
      <c r="V4" t="str">
        <v>2025-01-19 18:16:07</v>
      </c>
      <c r="W4">
        <v>1737310567</v>
      </c>
      <c r="X4">
        <v>0</v>
      </c>
      <c r="Y4">
        <v>0</v>
      </c>
      <c r="Z4">
        <v>2</v>
      </c>
    </row>
    <row r="5" spans="1:26" x14ac:dyDescent="0.25">
      <c r="A5">
        <v>63</v>
      </c>
      <c r="B5" t="str">
        <v>Petr</v>
      </c>
      <c r="C5" t="str">
        <v>Kvarda</v>
      </c>
      <c r="D5" t="str">
        <v>kvardic.p@seznam.cz</v>
      </c>
      <c r="E5" t="str">
        <v>+420739528720</v>
      </c>
      <c r="F5">
        <v>0</v>
      </c>
      <c r="G5" t="str">
        <v>Czech Republic</v>
      </c>
      <c r="H5" t="str">
        <v>JUNAK - cesky skaut</v>
      </c>
      <c r="I5" t="str">
        <v>Goliath</v>
      </c>
      <c r="J5">
        <v>611.04999999999995</v>
      </c>
      <c r="K5" t="str">
        <v>Přibyslav</v>
      </c>
      <c r="L5">
        <v>8</v>
      </c>
      <c r="M5">
        <v>2</v>
      </c>
      <c r="N5" t="str">
        <v>Friday</v>
      </c>
      <c r="O5" t="str">
        <v>12:00 - 15:00</v>
      </c>
      <c r="P5" t="str">
        <v>Monday</v>
      </c>
      <c r="Q5" t="str">
        <v>15:00 - 18:00</v>
      </c>
      <c r="R5">
        <v>0</v>
      </c>
      <c r="S5" t="str">
        <v>IST-12285</v>
      </c>
      <c r="T5">
        <v>250</v>
      </c>
      <c r="U5" t="str">
        <v>Mollie</v>
      </c>
      <c r="V5" t="str">
        <v>2025-01-20 17:26:18</v>
      </c>
      <c r="W5">
        <v>1737393978</v>
      </c>
      <c r="X5">
        <v>0</v>
      </c>
      <c r="Y5">
        <v>0</v>
      </c>
      <c r="Z5">
        <v>2</v>
      </c>
    </row>
    <row r="6" spans="1:26" x14ac:dyDescent="0.25">
      <c r="A6">
        <v>64</v>
      </c>
      <c r="B6" t="str">
        <v>Klára</v>
      </c>
      <c r="C6" t="str">
        <v>Helánová</v>
      </c>
      <c r="D6" t="str">
        <v>akela.sebetov@skaut.cz</v>
      </c>
      <c r="E6" t="str">
        <v>+420777865883</v>
      </c>
      <c r="F6" t="str">
        <v>Junák - Český skaut, středisko Severka, z.s. Šebetov 49 679 35 Czech Republic</v>
      </c>
      <c r="G6" t="str">
        <v>Czech Republic</v>
      </c>
      <c r="H6" t="str">
        <v>JUNAK - cesky skaut</v>
      </c>
      <c r="I6" t="str">
        <v>Středisko Severka</v>
      </c>
      <c r="J6">
        <v>621.11</v>
      </c>
      <c r="K6" t="str">
        <v>Šebetov</v>
      </c>
      <c r="L6">
        <v>15</v>
      </c>
      <c r="M6">
        <v>3</v>
      </c>
      <c r="N6" t="str">
        <v>Friday</v>
      </c>
      <c r="O6" t="str">
        <v>15:00 - 18:00</v>
      </c>
      <c r="P6" t="str">
        <v>Monday</v>
      </c>
      <c r="Q6" t="str">
        <v>12:00 - 15:00</v>
      </c>
      <c r="R6" t="str">
        <v>We are not sure about the arrival time yet. We're in the process of deciding between Friday morning (around 10 am) and evening (around 6 pm). We'll let you know once we've settled.</v>
      </c>
      <c r="S6" t="str">
        <v>IST-64335</v>
      </c>
      <c r="T6">
        <v>450</v>
      </c>
      <c r="U6" t="str">
        <v>Mollie</v>
      </c>
      <c r="V6" t="str">
        <v>2025-01-21 17:35:18</v>
      </c>
      <c r="W6">
        <v>1737480918</v>
      </c>
      <c r="X6">
        <v>0</v>
      </c>
      <c r="Y6">
        <v>0</v>
      </c>
      <c r="Z6">
        <v>2</v>
      </c>
    </row>
    <row r="7" spans="1:26" x14ac:dyDescent="0.25">
      <c r="A7">
        <v>77</v>
      </c>
      <c r="B7" t="str">
        <v>Ondřej</v>
      </c>
      <c r="C7" t="str">
        <v>Rejsek</v>
      </c>
      <c r="D7" t="str">
        <v>ondrej.rejsek@seznam.cz</v>
      </c>
      <c r="E7" t="str">
        <v>+420605211206</v>
      </c>
      <c r="F7" t="str">
        <v>Junák - český skaut, středisko Želivák Hradec Králové, z. s. Čajkovského 1861/46A, 500 09 Hradec Králové IČO: 62693158</v>
      </c>
      <c r="G7" t="str">
        <v>Czech Republic</v>
      </c>
      <c r="H7" t="str">
        <v>JUNAK - cesky skaut</v>
      </c>
      <c r="I7" t="str">
        <v>Želivák</v>
      </c>
      <c r="J7">
        <v>526.07000000000005</v>
      </c>
      <c r="K7" t="str">
        <v>Hradec Králové</v>
      </c>
      <c r="L7">
        <v>12</v>
      </c>
      <c r="M7">
        <v>3</v>
      </c>
      <c r="N7" t="str">
        <v>Friday</v>
      </c>
      <c r="O7" t="str">
        <v>09:00 - 12:00</v>
      </c>
      <c r="P7" t="str">
        <v>Monday</v>
      </c>
      <c r="Q7" t="str">
        <v>09:00 - 12:00</v>
      </c>
      <c r="R7" t="str">
        <v>We have exceeded the participant rate, because two of the leaders are still rangers in the age of 18, which want to go together. We would like to give them the opportunity to gain experience in leadership - to participate in organization of the international event. In our opinion they should have the support of older and experienced leader. Unfortunately the number of scout - participants is a little bit lower than expected.</v>
      </c>
      <c r="S7" t="str">
        <v>IST-64944</v>
      </c>
      <c r="T7">
        <v>375</v>
      </c>
      <c r="U7" t="str">
        <v>Mollie</v>
      </c>
      <c r="V7" t="str">
        <v>2025-01-31 20:55:09</v>
      </c>
      <c r="W7">
        <v>1738356909</v>
      </c>
      <c r="X7">
        <v>0</v>
      </c>
      <c r="Y7">
        <v>0</v>
      </c>
      <c r="Z7">
        <v>2</v>
      </c>
    </row>
    <row r="8" spans="1:26" x14ac:dyDescent="0.25">
      <c r="A8">
        <v>78</v>
      </c>
      <c r="B8" t="str">
        <v>Antonín</v>
      </c>
      <c r="C8" t="str">
        <v>Kala</v>
      </c>
      <c r="D8" t="str">
        <v>tonda.kala@seznam.cz</v>
      </c>
      <c r="E8" t="str">
        <v>+420603472473</v>
      </c>
      <c r="F8">
        <v>0</v>
      </c>
      <c r="G8" t="str">
        <v>Czech Republic</v>
      </c>
      <c r="H8" t="str">
        <v>JUNAK - cesky skaut</v>
      </c>
      <c r="I8" t="str">
        <v>Stopaři</v>
      </c>
      <c r="J8">
        <v>118.52</v>
      </c>
      <c r="K8" t="str">
        <v>Praha</v>
      </c>
      <c r="L8">
        <v>14</v>
      </c>
      <c r="M8">
        <v>2</v>
      </c>
      <c r="N8" t="str">
        <v>Friday</v>
      </c>
      <c r="O8" t="str">
        <v>15:00 - 18:00</v>
      </c>
      <c r="P8" t="str">
        <v>Monday</v>
      </c>
      <c r="Q8" t="str">
        <v>12:00 - 15:00</v>
      </c>
      <c r="R8">
        <v>0</v>
      </c>
      <c r="S8" t="str">
        <v>IST-19283</v>
      </c>
      <c r="T8">
        <v>400</v>
      </c>
      <c r="U8" t="str">
        <v>Mollie</v>
      </c>
      <c r="V8" t="str">
        <v>2025-01-31 22:47:55</v>
      </c>
      <c r="W8">
        <v>1738363675</v>
      </c>
      <c r="X8">
        <v>0</v>
      </c>
      <c r="Y8">
        <v>0</v>
      </c>
      <c r="Z8">
        <v>2</v>
      </c>
    </row>
    <row r="9" spans="1:26" x14ac:dyDescent="0.25">
      <c r="A9">
        <v>80</v>
      </c>
      <c r="B9" t="str">
        <v>Jiří</v>
      </c>
      <c r="C9" t="str">
        <v>Granát</v>
      </c>
      <c r="D9" t="str">
        <v>namornik@skaut.cz</v>
      </c>
      <c r="E9" t="str">
        <v>+420732310218</v>
      </c>
      <c r="F9">
        <v>0</v>
      </c>
      <c r="G9" t="str">
        <v>Czech Republic</v>
      </c>
      <c r="H9" t="str">
        <v>JUNAK - cesky skaut</v>
      </c>
      <c r="I9" t="str">
        <v>Junák Kostelec nad Orlicí</v>
      </c>
      <c r="J9">
        <v>524.03</v>
      </c>
      <c r="K9" t="str">
        <v>Kostelec nad Orlicí</v>
      </c>
      <c r="L9">
        <v>20</v>
      </c>
      <c r="M9">
        <v>4</v>
      </c>
      <c r="N9" t="str">
        <v>Friday</v>
      </c>
      <c r="O9" t="str">
        <v>09:00 - 12:00</v>
      </c>
      <c r="P9" t="str">
        <v>Monday</v>
      </c>
      <c r="Q9" t="str">
        <v>09:00 - 12:00</v>
      </c>
      <c r="R9">
        <v>0</v>
      </c>
      <c r="S9" t="str">
        <v>IST-23514</v>
      </c>
      <c r="T9">
        <v>600</v>
      </c>
      <c r="U9" t="str">
        <v>Mollie</v>
      </c>
      <c r="V9" t="str">
        <v>2025-02-01 21:53:16</v>
      </c>
      <c r="W9">
        <v>1738446796</v>
      </c>
      <c r="X9">
        <v>0</v>
      </c>
      <c r="Y9">
        <v>0</v>
      </c>
      <c r="Z9">
        <v>2</v>
      </c>
    </row>
    <row r="10" spans="1:26" x14ac:dyDescent="0.25">
      <c r="A10">
        <v>103</v>
      </c>
      <c r="B10" t="str">
        <v>Bára</v>
      </c>
      <c r="C10" t="str">
        <v>Matoušová</v>
      </c>
      <c r="D10" t="str">
        <v>matousova.bara@skaut.cz</v>
      </c>
      <c r="E10" t="str">
        <v>+420605989853</v>
      </c>
      <c r="F10">
        <v>0</v>
      </c>
      <c r="G10" t="str">
        <v>Czech Republic</v>
      </c>
      <c r="H10" t="str">
        <v>JUNAK - cesky skaut</v>
      </c>
      <c r="I10" t="str">
        <v>Fata Morgana</v>
      </c>
      <c r="J10">
        <v>523.1</v>
      </c>
      <c r="K10" t="str">
        <v>Nové Město nad Metují</v>
      </c>
      <c r="L10">
        <v>5</v>
      </c>
      <c r="M10">
        <v>1</v>
      </c>
      <c r="N10" t="str">
        <v>Friday</v>
      </c>
      <c r="O10" t="str">
        <v>09:00 - 12:00</v>
      </c>
      <c r="P10" t="str">
        <v>Monday</v>
      </c>
      <c r="Q10" t="str">
        <v>12:00 - 15:00</v>
      </c>
      <c r="R10">
        <v>0</v>
      </c>
      <c r="S10" t="str">
        <v>IST-64369</v>
      </c>
      <c r="T10">
        <v>150</v>
      </c>
      <c r="U10" t="str">
        <v>Mollie</v>
      </c>
      <c r="V10" t="str">
        <v>2025-02-10 13:55:50</v>
      </c>
      <c r="W10">
        <v>1739195751</v>
      </c>
      <c r="X10">
        <v>0</v>
      </c>
      <c r="Y10">
        <v>0</v>
      </c>
      <c r="Z10">
        <v>2</v>
      </c>
    </row>
    <row r="11" spans="1:26" x14ac:dyDescent="0.25">
      <c r="A11">
        <v>104</v>
      </c>
      <c r="B11" t="str">
        <v>Pavel</v>
      </c>
      <c r="C11" t="str">
        <v>Čechura</v>
      </c>
      <c r="D11" t="str">
        <v>pavelcechura@seznam.cz</v>
      </c>
      <c r="E11" t="str">
        <v>+420607927028</v>
      </c>
      <c r="F11">
        <v>0</v>
      </c>
      <c r="G11" t="str">
        <v>Czech Republic</v>
      </c>
      <c r="H11" t="str">
        <v>JUNAK - cesky skaut</v>
      </c>
      <c r="I11" t="str">
        <v>Třebechovice</v>
      </c>
      <c r="J11">
        <v>521.01</v>
      </c>
      <c r="K11" t="str">
        <v>Třebechovice pod Orebem</v>
      </c>
      <c r="L11">
        <v>20</v>
      </c>
      <c r="M11">
        <v>4</v>
      </c>
      <c r="N11" t="str">
        <v>Friday</v>
      </c>
      <c r="O11" t="str">
        <v>09:00 - 12:00</v>
      </c>
      <c r="P11" t="str">
        <v>Monday</v>
      </c>
      <c r="Q11" t="str">
        <v>09:00 - 12:00</v>
      </c>
      <c r="R11">
        <v>0</v>
      </c>
      <c r="S11" t="str">
        <v>IST-84861</v>
      </c>
      <c r="T11">
        <v>600</v>
      </c>
      <c r="U11" t="str">
        <v>Mollie</v>
      </c>
      <c r="V11" t="str">
        <v>2025-02-10 16:39:41</v>
      </c>
      <c r="W11">
        <v>1739205581</v>
      </c>
      <c r="X11">
        <v>0</v>
      </c>
      <c r="Y11">
        <v>0</v>
      </c>
      <c r="Z11">
        <v>2</v>
      </c>
    </row>
    <row r="12" spans="1:26" x14ac:dyDescent="0.25">
      <c r="A12">
        <v>112</v>
      </c>
      <c r="B12" t="str">
        <v>Michal</v>
      </c>
      <c r="C12" t="str">
        <v>Sýkora</v>
      </c>
      <c r="D12" t="str">
        <v>sykoramichal@skaut.cz</v>
      </c>
      <c r="E12" t="str">
        <v>+420739102827</v>
      </c>
      <c r="F12">
        <v>0</v>
      </c>
      <c r="G12" t="str">
        <v>Czech Republic</v>
      </c>
      <c r="H12" t="str">
        <v>JUNAK - cesky skaut</v>
      </c>
      <c r="I12" t="str">
        <v>AD FONTES</v>
      </c>
      <c r="J12">
        <v>621.08000000000004</v>
      </c>
      <c r="K12" t="str">
        <v>Šebrov - Kateřina</v>
      </c>
      <c r="L12">
        <v>20</v>
      </c>
      <c r="M12">
        <v>4</v>
      </c>
      <c r="N12" t="str">
        <v>Friday</v>
      </c>
      <c r="O12" t="str">
        <v>09:00 - 12:00</v>
      </c>
      <c r="P12" t="str">
        <v>Monday</v>
      </c>
      <c r="Q12" t="str">
        <v>09:00 - 12:00</v>
      </c>
      <c r="R12">
        <v>0</v>
      </c>
      <c r="S12" t="str">
        <v>IST-54943</v>
      </c>
      <c r="T12">
        <v>600</v>
      </c>
      <c r="U12" t="str">
        <v>Mollie</v>
      </c>
      <c r="V12" t="str">
        <v>2025-02-17 21:05:42</v>
      </c>
      <c r="W12">
        <v>1739826342</v>
      </c>
      <c r="X12">
        <v>0</v>
      </c>
      <c r="Y12">
        <v>0</v>
      </c>
      <c r="Z12">
        <v>2</v>
      </c>
    </row>
    <row r="13" spans="1:26" x14ac:dyDescent="0.25">
      <c r="A13">
        <v>42</v>
      </c>
      <c r="B13" t="str">
        <v>Lynn</v>
      </c>
      <c r="C13" t="str">
        <v>Millard</v>
      </c>
      <c r="D13" t="str">
        <v>lynn.millard@britishscoutingoverseas.org.uk</v>
      </c>
      <c r="E13" t="str">
        <v>+33637844303</v>
      </c>
      <c r="F13">
        <v>0</v>
      </c>
      <c r="G13" t="str">
        <v>GB</v>
      </c>
      <c r="H13" t="str">
        <v>BSO</v>
      </c>
      <c r="I13" t="str">
        <v>1st Maisons-Laffitte International</v>
      </c>
      <c r="J13" t="str">
        <v>lynn burns nutrition</v>
      </c>
      <c r="K13" t="str">
        <v>Maisons-Laffitte</v>
      </c>
      <c r="L13">
        <v>10</v>
      </c>
      <c r="M13">
        <v>3</v>
      </c>
      <c r="N13" t="str">
        <v>Friday</v>
      </c>
      <c r="O13" t="str">
        <v>21:00 - 00:00</v>
      </c>
      <c r="P13" t="str">
        <v>Monday</v>
      </c>
      <c r="Q13" t="str">
        <v>12:00 - 15:00</v>
      </c>
      <c r="R13" t="str">
        <v>Partnering with 1st Prague Scouts as we are sharing equipment - Added extra leader but if not needed will let you know. We have potential requirement for additional adult for neurodivergent kids/support driving. Rather book one extra and cancel than the other way around.</v>
      </c>
      <c r="S13" t="str">
        <v>IST-11256</v>
      </c>
      <c r="T13">
        <v>325</v>
      </c>
      <c r="U13" t="str">
        <v>Mollie</v>
      </c>
      <c r="V13" t="str">
        <v>2024-12-04 19:36:32</v>
      </c>
      <c r="W13">
        <v>1733340992</v>
      </c>
      <c r="X13">
        <v>0</v>
      </c>
      <c r="Y13">
        <v>0</v>
      </c>
      <c r="Z13">
        <v>2</v>
      </c>
    </row>
    <row r="14" spans="1:26" x14ac:dyDescent="0.25">
      <c r="A14">
        <v>20</v>
      </c>
      <c r="B14" t="str">
        <v>Jonas</v>
      </c>
      <c r="C14" t="str">
        <v>Spinczyk</v>
      </c>
      <c r="D14" t="str">
        <v>Jonas.spinczyk@rdp-bund.de</v>
      </c>
      <c r="E14" t="str">
        <v>+491621979714</v>
      </c>
      <c r="F14">
        <v>0</v>
      </c>
      <c r="G14" t="str">
        <v>Germany</v>
      </c>
      <c r="H14" t="str">
        <v>Deutsche Pfadfinderschaft Sankt Georg</v>
      </c>
      <c r="I14" t="str">
        <v>DPSG Kempen</v>
      </c>
      <c r="J14" t="str">
        <v>01/02/12</v>
      </c>
      <c r="K14" t="str">
        <v>Kempen</v>
      </c>
      <c r="L14">
        <v>21</v>
      </c>
      <c r="M14">
        <v>5</v>
      </c>
      <c r="N14" t="str">
        <v>Friday</v>
      </c>
      <c r="O14" t="str">
        <v>15:00 - 18:00</v>
      </c>
      <c r="P14" t="str">
        <v>Monday</v>
      </c>
      <c r="Q14" t="str">
        <v>09:00 - 12:00</v>
      </c>
      <c r="R14" t="str">
        <v>We need one more scout leader, because of a disabled participant.</v>
      </c>
      <c r="S14" t="str">
        <v>IST-11133</v>
      </c>
      <c r="T14">
        <v>650</v>
      </c>
      <c r="U14" t="str">
        <v>Mollie</v>
      </c>
      <c r="V14" t="str">
        <v>2024-11-30 23:17:00</v>
      </c>
      <c r="W14">
        <v>1733008620</v>
      </c>
      <c r="X14">
        <v>0</v>
      </c>
      <c r="Y14">
        <v>0</v>
      </c>
      <c r="Z14">
        <v>2</v>
      </c>
    </row>
    <row r="15" spans="1:26" x14ac:dyDescent="0.25">
      <c r="A15">
        <v>23</v>
      </c>
      <c r="B15" t="str">
        <v>Sebastian</v>
      </c>
      <c r="C15" t="str">
        <v>Kiwitt</v>
      </c>
      <c r="D15" t="str">
        <v>s-kiwitt@outlook.de</v>
      </c>
      <c r="E15" t="str">
        <v>+4917622228294</v>
      </c>
      <c r="F15" t="str">
        <v>Sebastian Kiwitt DPSG Stamm St. Viktor Xanten Schwarzer Weg 10 46509 Xanten</v>
      </c>
      <c r="G15" t="str">
        <v>Germany</v>
      </c>
      <c r="H15" t="str">
        <v>Deutsche Pfadfinderschaft Sankt Georg</v>
      </c>
      <c r="I15" t="str">
        <v>DPSG Stamm St. Viktor Xanten</v>
      </c>
      <c r="J15">
        <v>140101</v>
      </c>
      <c r="K15" t="str">
        <v>Xanten</v>
      </c>
      <c r="L15">
        <v>27</v>
      </c>
      <c r="M15">
        <v>7</v>
      </c>
      <c r="N15" t="str">
        <v>Friday</v>
      </c>
      <c r="O15" t="str">
        <v>12:00 - 15:00</v>
      </c>
      <c r="P15" t="str">
        <v>Monday</v>
      </c>
      <c r="Q15" t="str">
        <v>12:00 - 15:00</v>
      </c>
      <c r="R15" t="str">
        <v>We need more Leeders, because we come with two Leeder by Car and the  others with the Kids by Train. And I think Four Leeders with 27 Kids is not so safety. I hope this is Ok for you. Thank you. Best regards Sebastian</v>
      </c>
      <c r="S15" t="str">
        <v>IST-11133</v>
      </c>
      <c r="T15">
        <v>850</v>
      </c>
      <c r="U15" t="str">
        <v>Mollie</v>
      </c>
      <c r="V15" t="str">
        <v>2024-11-30 23:36:13</v>
      </c>
      <c r="W15">
        <v>1733009773</v>
      </c>
      <c r="X15">
        <v>0</v>
      </c>
      <c r="Y15">
        <v>0</v>
      </c>
      <c r="Z15">
        <v>2</v>
      </c>
    </row>
    <row r="16" spans="1:26" x14ac:dyDescent="0.25">
      <c r="A16">
        <v>35</v>
      </c>
      <c r="B16" t="str">
        <v>Lale</v>
      </c>
      <c r="C16" t="str">
        <v>Akman</v>
      </c>
      <c r="D16" t="str">
        <v>laleakman@yahoo.de</v>
      </c>
      <c r="E16" t="str">
        <v>+4917684098636</v>
      </c>
      <c r="F16" t="str">
        <v>Eichendorffstraße 8, 68167 Mannheim</v>
      </c>
      <c r="G16" t="str">
        <v>Germany</v>
      </c>
      <c r="H16" t="str">
        <v>Deutsche Pfadfinderschaft Sankt Georg</v>
      </c>
      <c r="I16" t="str">
        <v>St. Bernhard</v>
      </c>
      <c r="J16" t="str">
        <v>070101</v>
      </c>
      <c r="K16" t="str">
        <v>Mannheim</v>
      </c>
      <c r="L16">
        <v>15</v>
      </c>
      <c r="M16">
        <v>4</v>
      </c>
      <c r="N16" t="str">
        <v>Friday</v>
      </c>
      <c r="O16" t="str">
        <v>12:00 - 15:00</v>
      </c>
      <c r="P16" t="str">
        <v>Monday</v>
      </c>
      <c r="Q16" t="str">
        <v>15:00 - 18:00</v>
      </c>
      <c r="R16">
        <v>0</v>
      </c>
      <c r="S16" t="str">
        <v>IST-17058</v>
      </c>
      <c r="T16">
        <v>475</v>
      </c>
      <c r="U16" t="str">
        <v>Mollie</v>
      </c>
      <c r="V16" t="str">
        <v>2024-12-02 18:01:18</v>
      </c>
      <c r="W16">
        <v>1733162478</v>
      </c>
      <c r="X16">
        <v>0</v>
      </c>
      <c r="Y16">
        <v>0</v>
      </c>
      <c r="Z16">
        <v>2</v>
      </c>
    </row>
    <row r="17" spans="1:26" x14ac:dyDescent="0.25">
      <c r="A17">
        <v>36</v>
      </c>
      <c r="B17" t="str">
        <v>Fabian</v>
      </c>
      <c r="C17" t="str">
        <v>Berger</v>
      </c>
      <c r="D17" t="str">
        <v>bigberger@gmx.de</v>
      </c>
      <c r="E17" t="str">
        <v>+4917620771317</v>
      </c>
      <c r="F17">
        <v>0</v>
      </c>
      <c r="G17" t="str">
        <v>Germany</v>
      </c>
      <c r="H17" t="str">
        <v>Deutsche Pfadfinderschaft Sankt Georg</v>
      </c>
      <c r="I17" t="str">
        <v>DPSG Stamm Cherusker</v>
      </c>
      <c r="J17" t="str">
        <v>0007010300</v>
      </c>
      <c r="K17" t="str">
        <v>Laudenbach</v>
      </c>
      <c r="L17">
        <v>13</v>
      </c>
      <c r="M17">
        <v>2</v>
      </c>
      <c r="N17" t="str">
        <v>Friday</v>
      </c>
      <c r="O17" t="str">
        <v>15:00 - 18:00</v>
      </c>
      <c r="P17" t="str">
        <v>Monday</v>
      </c>
      <c r="Q17" t="str">
        <v>12:00 - 15:00</v>
      </c>
      <c r="R17">
        <v>0</v>
      </c>
      <c r="S17" t="str">
        <v>IST-18820</v>
      </c>
      <c r="T17">
        <v>375</v>
      </c>
      <c r="U17" t="str">
        <v>Mollie</v>
      </c>
      <c r="V17" t="str">
        <v>2024-12-02 18:30:47</v>
      </c>
      <c r="W17">
        <v>1733164247</v>
      </c>
      <c r="X17">
        <v>0</v>
      </c>
      <c r="Y17">
        <v>0</v>
      </c>
      <c r="Z17">
        <v>2</v>
      </c>
    </row>
    <row r="18" spans="1:26" x14ac:dyDescent="0.25">
      <c r="A18">
        <v>37</v>
      </c>
      <c r="B18" t="str">
        <v>Malte</v>
      </c>
      <c r="C18" t="str">
        <v>Grönemann</v>
      </c>
      <c r="D18" t="str">
        <v>malte.groenemann@dpsg-friedrichsfeld.de</v>
      </c>
      <c r="E18" t="str">
        <v>+4917641629411</v>
      </c>
      <c r="F18">
        <v>0</v>
      </c>
      <c r="G18" t="str">
        <v>Germany</v>
      </c>
      <c r="H18" t="str">
        <v>Deutsche Pfadfinderschaft Sankt Georg</v>
      </c>
      <c r="I18" t="str">
        <v>DPSG St. Bonifatius Mannheim</v>
      </c>
      <c r="J18" t="str">
        <v>070106</v>
      </c>
      <c r="K18" t="str">
        <v>Mannheim</v>
      </c>
      <c r="L18">
        <v>9</v>
      </c>
      <c r="M18">
        <v>2</v>
      </c>
      <c r="N18" t="str">
        <v>Friday</v>
      </c>
      <c r="O18" t="str">
        <v>18:00 - 21:00</v>
      </c>
      <c r="P18" t="str">
        <v>Monday</v>
      </c>
      <c r="Q18" t="str">
        <v>12:00 - 15:00</v>
      </c>
      <c r="R18">
        <v>0</v>
      </c>
      <c r="S18" t="str">
        <v>IST-96584</v>
      </c>
      <c r="T18">
        <v>200</v>
      </c>
      <c r="U18" t="str">
        <v>Mollie</v>
      </c>
      <c r="V18" t="str">
        <v>2024-12-02 18:49:22</v>
      </c>
      <c r="W18">
        <v>1733165362</v>
      </c>
      <c r="X18">
        <v>0</v>
      </c>
      <c r="Y18" t="str">
        <v>add.  3 kids</v>
      </c>
      <c r="Z18">
        <v>2</v>
      </c>
    </row>
    <row r="19" spans="1:26" x14ac:dyDescent="0.25">
      <c r="A19">
        <v>38</v>
      </c>
      <c r="B19" t="str">
        <v>Sven</v>
      </c>
      <c r="C19" t="str">
        <v>Mühlen</v>
      </c>
      <c r="D19" t="str">
        <v>sven@dpsgwegberg.de</v>
      </c>
      <c r="E19" t="str">
        <v>+4917696819125</v>
      </c>
      <c r="F19" t="str">
        <v>DPSG Wegberg</v>
      </c>
      <c r="G19" t="str">
        <v>Germany</v>
      </c>
      <c r="H19" t="str">
        <v>Deutsche Pfadfinderschaft Sankt Georg</v>
      </c>
      <c r="I19" t="str">
        <v>DPSG Wegberg</v>
      </c>
      <c r="J19" t="str">
        <v>0001041000</v>
      </c>
      <c r="K19" t="str">
        <v>Wegberg</v>
      </c>
      <c r="L19">
        <v>30</v>
      </c>
      <c r="M19">
        <v>6</v>
      </c>
      <c r="N19" t="str">
        <v>Friday</v>
      </c>
      <c r="O19" t="str">
        <v>18:00 - 21:00</v>
      </c>
      <c r="P19" t="str">
        <v>Monday</v>
      </c>
      <c r="Q19" t="str">
        <v>09:00 - 12:00</v>
      </c>
      <c r="R19">
        <v>0</v>
      </c>
      <c r="S19" t="str">
        <v>IST-46593</v>
      </c>
      <c r="T19">
        <v>900</v>
      </c>
      <c r="U19" t="str">
        <v>Mollie</v>
      </c>
      <c r="V19" t="str">
        <v>2024-12-02 20:03:36</v>
      </c>
      <c r="W19">
        <v>1733169816</v>
      </c>
      <c r="X19">
        <v>0</v>
      </c>
      <c r="Y19">
        <v>0</v>
      </c>
      <c r="Z19">
        <v>2</v>
      </c>
    </row>
    <row r="20" spans="1:26" x14ac:dyDescent="0.25">
      <c r="A20">
        <v>21</v>
      </c>
      <c r="B20" t="str">
        <v>Des</v>
      </c>
      <c r="C20" t="str">
        <v>Mahon</v>
      </c>
      <c r="D20" t="str">
        <v>des.mahon@arrowscouts.org.uk</v>
      </c>
      <c r="E20" t="str">
        <v>+447809149414</v>
      </c>
      <c r="F20" t="str">
        <v>Des Mahon 3rd Chandlers Ford Scouts  Arrow District</v>
      </c>
      <c r="G20" t="str">
        <v>GB</v>
      </c>
      <c r="H20" t="str">
        <v>British Guides In Foreign Countrys</v>
      </c>
      <c r="I20" t="str">
        <v>3rd Chandler’s Ford</v>
      </c>
      <c r="J20" t="str">
        <v>3rd</v>
      </c>
      <c r="K20" t="str">
        <v>Chandler’s Ford</v>
      </c>
      <c r="L20">
        <v>6</v>
      </c>
      <c r="M20">
        <v>2</v>
      </c>
      <c r="N20" t="str">
        <v>Friday</v>
      </c>
      <c r="O20" t="str">
        <v>15:00 - 18:00</v>
      </c>
      <c r="P20" t="str">
        <v>Monday</v>
      </c>
      <c r="Q20" t="str">
        <v>09:00 - 12:00</v>
      </c>
      <c r="R20" t="str">
        <v>Partnering with 1st Prague Scouts as we are sharing equipment</v>
      </c>
      <c r="S20" t="str">
        <v>IST-11133</v>
      </c>
      <c r="T20">
        <v>200</v>
      </c>
      <c r="U20" t="str">
        <v>Mollie</v>
      </c>
      <c r="V20" t="str">
        <v>2024-11-30 23:26:03</v>
      </c>
      <c r="W20">
        <v>1733009163</v>
      </c>
      <c r="X20">
        <v>0</v>
      </c>
      <c r="Y20">
        <v>0</v>
      </c>
      <c r="Z20">
        <v>2</v>
      </c>
    </row>
    <row r="21" spans="1:26" x14ac:dyDescent="0.25">
      <c r="A21">
        <v>17</v>
      </c>
      <c r="B21" t="str">
        <v>Christopher</v>
      </c>
      <c r="C21" t="str">
        <v>Wait</v>
      </c>
      <c r="D21" t="str">
        <v>waitchris0103@gmail.com</v>
      </c>
      <c r="E21" t="str">
        <v>+420777216228</v>
      </c>
      <c r="F21" t="str">
        <v>1st Prague (Czech Republic) Scout Group z.s. – British Scouting Overseas  Pod pekárnami 251/4, Vysočany, 190 00 Praha 9  ICO: 04755057</v>
      </c>
      <c r="G21" t="str">
        <v>GB</v>
      </c>
      <c r="H21" t="str">
        <v>BSO</v>
      </c>
      <c r="I21" t="str">
        <v>1st Prague Scouts</v>
      </c>
      <c r="J21" t="str">
        <v>04755057</v>
      </c>
      <c r="K21" t="str">
        <v>Prague</v>
      </c>
      <c r="L21">
        <v>29</v>
      </c>
      <c r="M21">
        <v>6</v>
      </c>
      <c r="N21" t="str">
        <v>Friday</v>
      </c>
      <c r="O21" t="str">
        <v>09:00 - 12:00</v>
      </c>
      <c r="P21" t="str">
        <v>Monday</v>
      </c>
      <c r="Q21" t="str">
        <v>12:00 - 15:00</v>
      </c>
      <c r="R21">
        <v>0</v>
      </c>
      <c r="S21" t="str">
        <v>IST-11133</v>
      </c>
      <c r="T21">
        <v>875</v>
      </c>
      <c r="U21" t="str">
        <v>Mollie</v>
      </c>
      <c r="V21" t="str">
        <v>2024-11-30 23:10:31</v>
      </c>
      <c r="W21">
        <v>1733008231</v>
      </c>
      <c r="X21">
        <v>0</v>
      </c>
      <c r="Y21">
        <v>0</v>
      </c>
      <c r="Z21">
        <v>2</v>
      </c>
    </row>
    <row r="22" spans="1:26" x14ac:dyDescent="0.25">
      <c r="A22">
        <v>49</v>
      </c>
      <c r="B22" t="str">
        <v>Zuzana</v>
      </c>
      <c r="C22" t="str">
        <v>Holekova</v>
      </c>
      <c r="D22" t="str">
        <v>zuzanaholekova@centrum.sk</v>
      </c>
      <c r="E22" t="str">
        <v>+421905886516</v>
      </c>
      <c r="F22">
        <v>0</v>
      </c>
      <c r="G22" t="str">
        <v>Slovakia</v>
      </c>
      <c r="H22" t="str">
        <v>Choose...</v>
      </c>
      <c r="I22" t="str">
        <v>Zbor Irmy Ševcechovej</v>
      </c>
      <c r="J22">
        <v>31</v>
      </c>
      <c r="K22" t="str">
        <v>Trenčianska Teplá</v>
      </c>
      <c r="L22">
        <v>2</v>
      </c>
      <c r="M22">
        <v>1</v>
      </c>
      <c r="N22" t="str">
        <v>Friday</v>
      </c>
      <c r="O22" t="str">
        <v>15:00 - 18:00</v>
      </c>
      <c r="P22" t="str">
        <v>Monday</v>
      </c>
      <c r="Q22" t="str">
        <v>12:00 - 15:00</v>
      </c>
      <c r="R22">
        <v>0</v>
      </c>
      <c r="S22" t="str">
        <v>IST-35004</v>
      </c>
      <c r="T22">
        <v>75</v>
      </c>
      <c r="U22" t="str">
        <v>Mollie</v>
      </c>
      <c r="V22" t="str">
        <v>2024-12-08 13:07:16</v>
      </c>
      <c r="W22">
        <v>1733663236</v>
      </c>
      <c r="X22">
        <v>0</v>
      </c>
      <c r="Y22">
        <v>0</v>
      </c>
      <c r="Z22">
        <v>2</v>
      </c>
    </row>
    <row r="23" spans="1:26" x14ac:dyDescent="0.25">
      <c r="A23">
        <v>44</v>
      </c>
      <c r="B23" t="str">
        <v>Zuzana</v>
      </c>
      <c r="C23" t="str">
        <v>Holekova</v>
      </c>
      <c r="D23" t="str">
        <v>zuzanaholekova@centrum.sk</v>
      </c>
      <c r="E23" t="str">
        <v>+421905886516</v>
      </c>
      <c r="F23">
        <v>0</v>
      </c>
      <c r="G23" t="str">
        <v>Slovakia</v>
      </c>
      <c r="H23" t="str">
        <v>Guests</v>
      </c>
      <c r="I23" t="str">
        <v>zbor Irmy Ševcechovej</v>
      </c>
      <c r="J23">
        <v>31</v>
      </c>
      <c r="K23" t="str">
        <v>Trenčianska Teplá</v>
      </c>
      <c r="L23">
        <v>5</v>
      </c>
      <c r="M23">
        <v>1</v>
      </c>
      <c r="N23" t="str">
        <v>Friday</v>
      </c>
      <c r="O23" t="str">
        <v>15:00 - 18:00</v>
      </c>
      <c r="P23" t="str">
        <v>Monday</v>
      </c>
      <c r="Q23" t="str">
        <v>12:00 - 15:00</v>
      </c>
      <c r="R23">
        <v>0</v>
      </c>
      <c r="S23" t="str">
        <v>IST-10569</v>
      </c>
      <c r="T23">
        <v>150</v>
      </c>
      <c r="U23" t="str">
        <v>Mollie</v>
      </c>
      <c r="V23" t="str">
        <v>2024-12-07 19:33:48</v>
      </c>
      <c r="W23">
        <v>1733600028</v>
      </c>
      <c r="X23">
        <v>0</v>
      </c>
      <c r="Y23">
        <v>0</v>
      </c>
      <c r="Z23">
        <v>2</v>
      </c>
    </row>
    <row r="24" spans="1:26" x14ac:dyDescent="0.25">
      <c r="A24">
        <v>96</v>
      </c>
      <c r="B24" t="str">
        <v>Michał</v>
      </c>
      <c r="C24" t="str">
        <v>Wnuk</v>
      </c>
      <c r="D24" t="str">
        <v>michal.wnuk@zhp.net.pl</v>
      </c>
      <c r="E24" t="str">
        <v>+48602672459</v>
      </c>
      <c r="F24">
        <v>0</v>
      </c>
      <c r="G24" t="str">
        <v>Poland</v>
      </c>
      <c r="H24" t="str">
        <v>Zwiazek Harcerstwa Polskiego</v>
      </c>
      <c r="I24" t="str">
        <v>Zawiercie 1</v>
      </c>
      <c r="J24">
        <v>1</v>
      </c>
      <c r="K24" t="str">
        <v>Zawiercie</v>
      </c>
      <c r="L24">
        <v>13</v>
      </c>
      <c r="M24">
        <v>2</v>
      </c>
      <c r="N24" t="str">
        <v>Friday</v>
      </c>
      <c r="O24" t="str">
        <v>15:00 - 18:00</v>
      </c>
      <c r="P24" t="str">
        <v>Monday</v>
      </c>
      <c r="Q24" t="str">
        <v>09:00 - 12:00</v>
      </c>
      <c r="R24" t="str">
        <v>We ask that the camping area for the patrol "zawiercie 1" and "zawiercie 2" be next to each other. We are the same large group from one city.  Would it be possible for us to spend the night on Thursday at the convention site?</v>
      </c>
      <c r="S24" t="str">
        <v>IST-63079</v>
      </c>
      <c r="T24">
        <v>375</v>
      </c>
      <c r="U24" t="str">
        <v>Mollie</v>
      </c>
      <c r="V24" t="str">
        <v>2025-02-05 14:21:53</v>
      </c>
      <c r="W24">
        <v>1738765313</v>
      </c>
      <c r="X24">
        <v>0</v>
      </c>
      <c r="Y24">
        <v>0</v>
      </c>
      <c r="Z24">
        <v>2</v>
      </c>
    </row>
    <row r="25" spans="1:26" x14ac:dyDescent="0.25">
      <c r="A25">
        <v>97</v>
      </c>
      <c r="B25" t="str">
        <v>Katarzyna</v>
      </c>
      <c r="C25" t="str">
        <v>Krzepkowska</v>
      </c>
      <c r="D25" t="str">
        <v>hufiec@zawiercie.zhp.pl</v>
      </c>
      <c r="E25" t="str">
        <v>+48602672459</v>
      </c>
      <c r="F25">
        <v>0</v>
      </c>
      <c r="G25" t="str">
        <v>Poland</v>
      </c>
      <c r="H25" t="str">
        <v>Zwiazek Harcerstwa Polskiego</v>
      </c>
      <c r="I25" t="str">
        <v>Zawiercie 2</v>
      </c>
      <c r="J25">
        <v>2</v>
      </c>
      <c r="K25" t="str">
        <v>Zawiercie</v>
      </c>
      <c r="L25">
        <v>13</v>
      </c>
      <c r="M25">
        <v>2</v>
      </c>
      <c r="N25" t="str">
        <v>Friday</v>
      </c>
      <c r="O25" t="str">
        <v>15:00 - 18:00</v>
      </c>
      <c r="P25" t="str">
        <v>Monday</v>
      </c>
      <c r="Q25" t="str">
        <v>09:00 - 12:00</v>
      </c>
      <c r="R25" t="str">
        <v>We ask that the camping area for the patrol "zawiercie 1" and "zawiercie 2" be next to each other. We are the same large group from one city.  Would it be possible for us to spend the night on Thursday at the convention site?</v>
      </c>
      <c r="S25" t="str">
        <v>IST-10147</v>
      </c>
      <c r="T25">
        <v>375</v>
      </c>
      <c r="U25" t="str">
        <v>Mollie</v>
      </c>
      <c r="V25" t="str">
        <v>2025-02-05 14:25:33</v>
      </c>
      <c r="W25">
        <v>1738765533</v>
      </c>
      <c r="X25">
        <v>0</v>
      </c>
      <c r="Y25">
        <v>0</v>
      </c>
      <c r="Z25">
        <v>2</v>
      </c>
    </row>
    <row r="26" spans="1:26" x14ac:dyDescent="0.25">
      <c r="A26">
        <v>98</v>
      </c>
      <c r="B26" t="str">
        <v>Jacek</v>
      </c>
      <c r="C26" t="str">
        <v>Słaby</v>
      </c>
      <c r="D26" t="str">
        <v>jacek.slaby@zhp.net.pl</v>
      </c>
      <c r="E26" t="str">
        <v>+48502039396</v>
      </c>
      <c r="F26">
        <v>0</v>
      </c>
      <c r="G26" t="str">
        <v>Poland</v>
      </c>
      <c r="H26" t="str">
        <v>Zwiazek Harcerstwa Polskiego</v>
      </c>
      <c r="I26" t="str">
        <v>30 WDH</v>
      </c>
      <c r="J26">
        <v>30</v>
      </c>
      <c r="K26" t="str">
        <v>Warszawa</v>
      </c>
      <c r="L26">
        <v>7</v>
      </c>
      <c r="M26">
        <v>1</v>
      </c>
      <c r="N26" t="str">
        <v>Friday</v>
      </c>
      <c r="O26" t="str">
        <v>15:00 - 18:00</v>
      </c>
      <c r="P26" t="str">
        <v>Monday</v>
      </c>
      <c r="Q26" t="str">
        <v>09:00 - 12:00</v>
      </c>
      <c r="R26">
        <v>0</v>
      </c>
      <c r="S26" t="str">
        <v>IST-19825</v>
      </c>
      <c r="T26">
        <v>200</v>
      </c>
      <c r="U26" t="str">
        <v>Mollie</v>
      </c>
      <c r="V26" t="str">
        <v>2025-02-05 14:30:41</v>
      </c>
      <c r="W26">
        <v>1738765842</v>
      </c>
      <c r="X26">
        <v>0</v>
      </c>
      <c r="Y26">
        <v>0</v>
      </c>
      <c r="Z26">
        <v>2</v>
      </c>
    </row>
    <row r="27" spans="1:26" x14ac:dyDescent="0.25">
      <c r="A27">
        <v>99</v>
      </c>
      <c r="B27" t="str">
        <v>Marta</v>
      </c>
      <c r="C27" t="str">
        <v>Zielińska</v>
      </c>
      <c r="D27" t="str">
        <v>marta.zielinska@zhp.net.pl</v>
      </c>
      <c r="E27" t="str">
        <v>+48535775774</v>
      </c>
      <c r="F27">
        <v>0</v>
      </c>
      <c r="G27" t="str">
        <v>Poland</v>
      </c>
      <c r="H27" t="str">
        <v>Zwiazek Harcerstwa Polskiego</v>
      </c>
      <c r="I27" t="str">
        <v>424 DS "Żywioły"</v>
      </c>
      <c r="J27">
        <v>424</v>
      </c>
      <c r="K27" t="str">
        <v>Izabelin</v>
      </c>
      <c r="L27">
        <v>13</v>
      </c>
      <c r="M27">
        <v>2</v>
      </c>
      <c r="N27" t="str">
        <v>Friday</v>
      </c>
      <c r="O27" t="str">
        <v>18:00 - 21:00</v>
      </c>
      <c r="P27" t="str">
        <v>Monday</v>
      </c>
      <c r="Q27" t="str">
        <v>09:00 - 12:00</v>
      </c>
      <c r="R27">
        <v>0</v>
      </c>
      <c r="S27" t="str">
        <v>IST-11217</v>
      </c>
      <c r="T27">
        <v>375</v>
      </c>
      <c r="U27" t="str">
        <v>Mollie</v>
      </c>
      <c r="V27" t="str">
        <v>2025-02-05 15:33:27</v>
      </c>
      <c r="W27">
        <v>1738769607</v>
      </c>
      <c r="X27">
        <v>0</v>
      </c>
      <c r="Y27">
        <v>0</v>
      </c>
      <c r="Z27">
        <v>2</v>
      </c>
    </row>
    <row r="28" spans="1:26" x14ac:dyDescent="0.25">
      <c r="A28">
        <v>108</v>
      </c>
      <c r="B28" t="str">
        <v>Michał</v>
      </c>
      <c r="C28" t="str">
        <v>Święcicki</v>
      </c>
      <c r="D28" t="str">
        <v>michal.swiecicki@zhp.net.pl</v>
      </c>
      <c r="E28" t="str">
        <v>+48511267708</v>
      </c>
      <c r="F28">
        <v>0</v>
      </c>
      <c r="G28" t="str">
        <v>Poland</v>
      </c>
      <c r="H28" t="str">
        <v>Zwiazek Harcerstwa Polskiego</v>
      </c>
      <c r="I28" t="str">
        <v>Granda</v>
      </c>
      <c r="J28">
        <v>420</v>
      </c>
      <c r="K28" t="str">
        <v>Warszawa</v>
      </c>
      <c r="L28">
        <v>8</v>
      </c>
      <c r="M28">
        <v>2</v>
      </c>
      <c r="N28" t="str">
        <v>Friday</v>
      </c>
      <c r="O28" t="str">
        <v>18:00 - 21:00</v>
      </c>
      <c r="P28" t="str">
        <v>Monday</v>
      </c>
      <c r="Q28" t="str">
        <v>09:00 - 12:00</v>
      </c>
      <c r="R28">
        <v>0</v>
      </c>
      <c r="S28" t="str">
        <v>IST-20570</v>
      </c>
      <c r="T28">
        <v>250</v>
      </c>
      <c r="U28" t="str">
        <v>Mollie</v>
      </c>
      <c r="V28" t="str">
        <v>2025-02-16 21:37:27</v>
      </c>
      <c r="W28">
        <v>1739741847</v>
      </c>
      <c r="X28">
        <v>0</v>
      </c>
      <c r="Y28">
        <v>0</v>
      </c>
      <c r="Z28">
        <v>2</v>
      </c>
    </row>
    <row r="29" spans="1:26" x14ac:dyDescent="0.25">
      <c r="A29">
        <v>109</v>
      </c>
      <c r="B29" t="str">
        <v>Julia</v>
      </c>
      <c r="C29" t="str">
        <v>Kinderman</v>
      </c>
      <c r="D29" t="str">
        <v>julia.kinderman@zhp.net.pl</v>
      </c>
      <c r="E29" t="str">
        <v>+48519656858</v>
      </c>
      <c r="F29">
        <v>0</v>
      </c>
      <c r="G29" t="str">
        <v>Poland</v>
      </c>
      <c r="H29" t="str">
        <v>Zwiazek Harcerstwa Polskiego</v>
      </c>
      <c r="I29" t="str">
        <v>Gwardians</v>
      </c>
      <c r="J29">
        <v>96</v>
      </c>
      <c r="K29" t="str">
        <v>Łódź</v>
      </c>
      <c r="L29">
        <v>14</v>
      </c>
      <c r="M29">
        <v>2</v>
      </c>
      <c r="N29" t="str">
        <v>Friday</v>
      </c>
      <c r="O29" t="str">
        <v>12:00 - 15:00</v>
      </c>
      <c r="P29" t="str">
        <v>Monday</v>
      </c>
      <c r="Q29" t="str">
        <v>09:00 - 12:00</v>
      </c>
      <c r="R29">
        <v>0</v>
      </c>
      <c r="S29" t="str">
        <v>IST-18637</v>
      </c>
      <c r="T29">
        <v>400</v>
      </c>
      <c r="U29" t="str">
        <v>Mollie</v>
      </c>
      <c r="V29" t="str">
        <v>2025-02-16 21:41:39</v>
      </c>
      <c r="W29">
        <v>1739742099</v>
      </c>
      <c r="X29">
        <v>0</v>
      </c>
      <c r="Y29">
        <v>0</v>
      </c>
      <c r="Z29">
        <v>2</v>
      </c>
    </row>
    <row r="30" spans="1:26" x14ac:dyDescent="0.25">
      <c r="A30">
        <v>115</v>
      </c>
      <c r="B30" t="str">
        <v>Patrycja</v>
      </c>
      <c r="C30" t="str">
        <v>Kiryluk</v>
      </c>
      <c r="D30" t="str">
        <v>patrycja.kiryluk@zhp.net.pl</v>
      </c>
      <c r="E30" t="str">
        <v>+48 604948623</v>
      </c>
      <c r="F30">
        <v>0</v>
      </c>
      <c r="G30" t="str">
        <v>Poland</v>
      </c>
      <c r="H30" t="str">
        <v>Zwiazek Harcerstwa Polskiego</v>
      </c>
      <c r="I30" t="str">
        <v>FDDH 2</v>
      </c>
      <c r="J30">
        <v>2</v>
      </c>
      <c r="K30" t="str">
        <v>Morąg</v>
      </c>
      <c r="L30">
        <v>15</v>
      </c>
      <c r="M30">
        <v>2</v>
      </c>
      <c r="N30" t="str">
        <v>Friday</v>
      </c>
      <c r="O30" t="str">
        <v>09:00 - 12:00</v>
      </c>
      <c r="P30" t="str">
        <v>Monday</v>
      </c>
      <c r="Q30" t="str">
        <v>09:00 - 12:00</v>
      </c>
      <c r="R30" t="str">
        <v>We would be grateful if you could place our two teams, FDDH 1 and FDDH 2, in the same subcamp during the Intercamp. We don’t have enough equipment to divide between the teams, and we are part of the same scout group.</v>
      </c>
      <c r="S30" t="str">
        <v>IST-83825</v>
      </c>
      <c r="T30">
        <v>400</v>
      </c>
      <c r="U30" t="str">
        <v>Mollie</v>
      </c>
      <c r="V30" t="str">
        <v>2025-02-23 18:34:30</v>
      </c>
      <c r="W30">
        <v>1740335670</v>
      </c>
      <c r="X30" t="str">
        <v>Plus 1 to pay</v>
      </c>
      <c r="Y30">
        <v>0</v>
      </c>
      <c r="Z30">
        <v>2</v>
      </c>
    </row>
    <row r="31" spans="1:26" x14ac:dyDescent="0.25">
      <c r="A31">
        <v>116</v>
      </c>
      <c r="B31" t="str">
        <v>Kamil</v>
      </c>
      <c r="C31" t="str">
        <v>Sagan</v>
      </c>
      <c r="D31" t="str">
        <v>kamil.sagan@zhp.net.pl</v>
      </c>
      <c r="E31" t="str">
        <v>+48795599749</v>
      </c>
      <c r="F31">
        <v>0</v>
      </c>
      <c r="G31" t="str">
        <v>Poland</v>
      </c>
      <c r="H31" t="str">
        <v>Zwiazek Harcerstwa Polskiego</v>
      </c>
      <c r="I31" t="str">
        <v>HSDeserterzy</v>
      </c>
      <c r="J31">
        <v>9</v>
      </c>
      <c r="K31" t="str">
        <v>Kraków</v>
      </c>
      <c r="L31">
        <v>10</v>
      </c>
      <c r="M31">
        <v>2</v>
      </c>
      <c r="N31" t="str">
        <v>Friday</v>
      </c>
      <c r="O31" t="str">
        <v>18:00 - 21:00</v>
      </c>
      <c r="P31" t="str">
        <v>Monday</v>
      </c>
      <c r="Q31" t="str">
        <v>09:00 - 12:00</v>
      </c>
      <c r="R31">
        <v>0</v>
      </c>
      <c r="S31" t="str">
        <v>IST-16632</v>
      </c>
      <c r="T31">
        <v>300</v>
      </c>
      <c r="U31" t="str">
        <v>Mollie</v>
      </c>
      <c r="V31" t="str">
        <v>2025-02-23 18:38:33</v>
      </c>
      <c r="W31">
        <v>1740335913</v>
      </c>
      <c r="X31">
        <v>0</v>
      </c>
      <c r="Y31">
        <v>0</v>
      </c>
      <c r="Z31">
        <v>2</v>
      </c>
    </row>
    <row r="32" spans="1:26" x14ac:dyDescent="0.25">
      <c r="A32">
        <v>117</v>
      </c>
      <c r="B32" t="str">
        <v>Jakub</v>
      </c>
      <c r="C32" t="str">
        <v>Jędras</v>
      </c>
      <c r="D32" t="str">
        <v>jakub.jedras@zhp.net.pl</v>
      </c>
      <c r="E32" t="str">
        <v>+48606891044</v>
      </c>
      <c r="F32">
        <v>0</v>
      </c>
      <c r="G32" t="str">
        <v>Poland</v>
      </c>
      <c r="H32" t="str">
        <v>Zwiazek Harcerstwa Polskiego</v>
      </c>
      <c r="I32" t="str">
        <v>HSDeserterki</v>
      </c>
      <c r="J32">
        <v>9</v>
      </c>
      <c r="K32" t="str">
        <v>Kraków</v>
      </c>
      <c r="L32">
        <v>5</v>
      </c>
      <c r="M32">
        <v>1</v>
      </c>
      <c r="N32" t="str">
        <v>Friday</v>
      </c>
      <c r="O32" t="str">
        <v>15:00 - 18:00</v>
      </c>
      <c r="P32" t="str">
        <v>Monday</v>
      </c>
      <c r="Q32" t="str">
        <v>09:00 - 12:00</v>
      </c>
      <c r="R32">
        <v>0</v>
      </c>
      <c r="S32" t="str">
        <v>IST-17214</v>
      </c>
      <c r="T32">
        <v>150</v>
      </c>
      <c r="U32" t="str">
        <v>Mollie</v>
      </c>
      <c r="V32" t="str">
        <v>2025-02-23 18:44:55</v>
      </c>
      <c r="W32">
        <v>1740336295</v>
      </c>
      <c r="X32">
        <v>0</v>
      </c>
      <c r="Y32">
        <v>0</v>
      </c>
      <c r="Z32">
        <v>2</v>
      </c>
    </row>
    <row r="33" spans="1:26" x14ac:dyDescent="0.25">
      <c r="A33">
        <v>119</v>
      </c>
      <c r="B33" t="str">
        <v>Dominik Jeffrey</v>
      </c>
      <c r="C33" t="str">
        <v>Rimaszauskas</v>
      </c>
      <c r="D33" t="str">
        <v>dominik.rimaszauskas@zhp.net.pl</v>
      </c>
      <c r="E33" t="str">
        <v>+48535037130</v>
      </c>
      <c r="F33">
        <v>0</v>
      </c>
      <c r="G33" t="str">
        <v>Poland</v>
      </c>
      <c r="H33" t="str">
        <v>Zwiazek Harcerstwa Polskiego</v>
      </c>
      <c r="I33" t="str">
        <v>FDDH 1</v>
      </c>
      <c r="J33">
        <v>8</v>
      </c>
      <c r="K33" t="str">
        <v>MORĄG</v>
      </c>
      <c r="L33">
        <v>15</v>
      </c>
      <c r="M33">
        <v>2</v>
      </c>
      <c r="N33" t="str">
        <v>Friday</v>
      </c>
      <c r="O33" t="str">
        <v>15:00 - 18:00</v>
      </c>
      <c r="P33" t="str">
        <v>Monday</v>
      </c>
      <c r="Q33" t="str">
        <v>09:00 - 12:00</v>
      </c>
      <c r="R33">
        <v>0</v>
      </c>
      <c r="S33" t="str">
        <v>IST-33514</v>
      </c>
      <c r="T33">
        <v>425</v>
      </c>
      <c r="U33" t="str">
        <v>Mollie</v>
      </c>
      <c r="V33" t="str">
        <v>2025-02-23 18:53:04</v>
      </c>
      <c r="W33">
        <v>1740336784</v>
      </c>
      <c r="X33">
        <v>0</v>
      </c>
      <c r="Y33">
        <v>0</v>
      </c>
      <c r="Z33">
        <v>2</v>
      </c>
    </row>
    <row r="34" spans="1:26" x14ac:dyDescent="0.25">
      <c r="A34">
        <v>136</v>
      </c>
      <c r="B34" t="str">
        <v>Katarzyna  </v>
      </c>
      <c r="C34" t="str">
        <v>Kwiatkowska</v>
      </c>
      <c r="D34" t="str">
        <v>katarzyna.kwiatkowska@zhp.net.pl</v>
      </c>
      <c r="E34" t="str">
        <v>+48 502601077</v>
      </c>
      <c r="F34">
        <v>0</v>
      </c>
      <c r="G34" t="str">
        <v>Poland</v>
      </c>
      <c r="H34" t="str">
        <v>Zwiazek Harcerstwa Polskiego</v>
      </c>
      <c r="I34" t="str">
        <v>Włóczykije 1</v>
      </c>
      <c r="J34" t="str">
        <v>30 WDH</v>
      </c>
      <c r="K34" t="str">
        <v>Warszawa</v>
      </c>
      <c r="L34">
        <v>7</v>
      </c>
      <c r="M34">
        <v>2</v>
      </c>
      <c r="N34" t="str">
        <v>Friday</v>
      </c>
      <c r="O34" t="str">
        <v>15:00 - 18:00</v>
      </c>
      <c r="P34" t="str">
        <v>Monday</v>
      </c>
      <c r="Q34" t="str">
        <v>09:00 - 12:00</v>
      </c>
      <c r="R34">
        <v>0</v>
      </c>
      <c r="S34">
        <v>0</v>
      </c>
      <c r="T34">
        <v>0</v>
      </c>
      <c r="U34">
        <v>0</v>
      </c>
      <c r="V34">
        <v>0</v>
      </c>
      <c r="W34">
        <v>0</v>
      </c>
      <c r="X34" t="str">
        <v>225 euro to be paid</v>
      </c>
      <c r="Y34">
        <v>225</v>
      </c>
      <c r="Z34">
        <v>2</v>
      </c>
    </row>
    <row r="35" spans="1:26" x14ac:dyDescent="0.25">
      <c r="A35">
        <v>2</v>
      </c>
      <c r="B35" t="str">
        <v>Frans</v>
      </c>
      <c r="C35" t="str">
        <v>Lenders</v>
      </c>
      <c r="D35" t="str">
        <v>franslenders@home.nl</v>
      </c>
      <c r="E35" t="str">
        <v>+31621857140</v>
      </c>
      <c r="F35">
        <v>0</v>
      </c>
      <c r="G35" t="str">
        <v>The Netherlands</v>
      </c>
      <c r="H35" t="str">
        <v>Scouting Nederland</v>
      </c>
      <c r="I35" t="str">
        <v>St. Rumoldus</v>
      </c>
      <c r="J35">
        <v>1454</v>
      </c>
      <c r="K35" t="str">
        <v>Weert</v>
      </c>
      <c r="L35">
        <v>16</v>
      </c>
      <c r="M35">
        <v>4</v>
      </c>
      <c r="N35" t="str">
        <v>Friday</v>
      </c>
      <c r="O35" t="str">
        <v>12:00 - 15:00</v>
      </c>
      <c r="P35" t="str">
        <v>Monday</v>
      </c>
      <c r="Q35" t="str">
        <v>12:00 - 15:00</v>
      </c>
      <c r="R35">
        <v>0</v>
      </c>
      <c r="S35" t="str">
        <v>IST-75688</v>
      </c>
      <c r="T35">
        <v>500</v>
      </c>
      <c r="U35" t="str">
        <v>Mollie</v>
      </c>
      <c r="V35" t="str">
        <v>2024-11-30 19:07:13</v>
      </c>
      <c r="W35">
        <v>1732993633</v>
      </c>
      <c r="X35">
        <v>0</v>
      </c>
      <c r="Y35">
        <v>0</v>
      </c>
      <c r="Z35">
        <v>2</v>
      </c>
    </row>
    <row r="36" spans="1:26" x14ac:dyDescent="0.25">
      <c r="A36">
        <v>3</v>
      </c>
      <c r="B36" t="str">
        <v>Arno</v>
      </c>
      <c r="C36" t="str">
        <v>van As</v>
      </c>
      <c r="D36" t="str">
        <v>arno.van.as@hotmail.com</v>
      </c>
      <c r="E36" t="str">
        <v>+31628679230</v>
      </c>
      <c r="F36">
        <v>0</v>
      </c>
      <c r="G36" t="str">
        <v>The Netherlands</v>
      </c>
      <c r="H36" t="str">
        <v>Scouting Nederland</v>
      </c>
      <c r="I36" t="str">
        <v>Scouting Ewijk</v>
      </c>
      <c r="J36">
        <v>1228</v>
      </c>
      <c r="K36" t="str">
        <v>Ewijk</v>
      </c>
      <c r="L36">
        <v>18</v>
      </c>
      <c r="M36">
        <v>5</v>
      </c>
      <c r="N36" t="str">
        <v>Friday</v>
      </c>
      <c r="O36" t="str">
        <v>12:00 - 15:00</v>
      </c>
      <c r="P36" t="str">
        <v>Monday</v>
      </c>
      <c r="Q36" t="str">
        <v>12:00 - 15:00</v>
      </c>
      <c r="R36">
        <v>0</v>
      </c>
      <c r="S36" t="str">
        <v>IST-97382</v>
      </c>
      <c r="T36">
        <v>575</v>
      </c>
      <c r="U36" t="str">
        <v>Mollie</v>
      </c>
      <c r="V36" t="str">
        <v>2024-11-30 19:11:58</v>
      </c>
      <c r="W36">
        <v>1732993918</v>
      </c>
      <c r="X36">
        <v>0</v>
      </c>
      <c r="Y36">
        <v>0</v>
      </c>
      <c r="Z36">
        <v>2</v>
      </c>
    </row>
    <row r="37" spans="1:26" x14ac:dyDescent="0.25">
      <c r="A37">
        <v>4</v>
      </c>
      <c r="B37" t="str">
        <v>Ricardo</v>
      </c>
      <c r="C37" t="str">
        <v>Laurens</v>
      </c>
      <c r="D37" t="str">
        <v>r.laurens.1995@gmail.com</v>
      </c>
      <c r="E37" t="str">
        <v>+31621642397</v>
      </c>
      <c r="F37">
        <v>0</v>
      </c>
      <c r="G37" t="str">
        <v>The Netherlands</v>
      </c>
      <c r="H37" t="str">
        <v>Scouting Nederland</v>
      </c>
      <c r="I37" t="str">
        <v>St.Scouting Saffatin Maurik</v>
      </c>
      <c r="J37">
        <v>1215</v>
      </c>
      <c r="K37" t="str">
        <v>Maurik</v>
      </c>
      <c r="L37">
        <v>12</v>
      </c>
      <c r="M37">
        <v>3</v>
      </c>
      <c r="N37" t="str">
        <v>Friday</v>
      </c>
      <c r="O37" t="str">
        <v>12:00 - 15:00</v>
      </c>
      <c r="P37" t="str">
        <v>Monday</v>
      </c>
      <c r="Q37" t="str">
        <v>12:00 - 15:00</v>
      </c>
      <c r="R37">
        <v>0</v>
      </c>
      <c r="S37" t="str">
        <v>IST-85959</v>
      </c>
      <c r="T37">
        <v>375</v>
      </c>
      <c r="U37" t="str">
        <v>Mollie</v>
      </c>
      <c r="V37" t="str">
        <v>2024-11-30 19:14:24</v>
      </c>
      <c r="W37">
        <v>1732994065</v>
      </c>
      <c r="X37">
        <v>0</v>
      </c>
      <c r="Y37">
        <v>0</v>
      </c>
      <c r="Z37">
        <v>2</v>
      </c>
    </row>
    <row r="38" spans="1:26" x14ac:dyDescent="0.25">
      <c r="A38">
        <v>8</v>
      </c>
      <c r="B38" t="str">
        <v>Peter</v>
      </c>
      <c r="C38" t="str">
        <v>de Graag</v>
      </c>
      <c r="D38" t="str">
        <v>peterdegraag@hotmail.com</v>
      </c>
      <c r="E38" t="str">
        <v>+31683644415</v>
      </c>
      <c r="F38">
        <v>0</v>
      </c>
      <c r="G38" t="str">
        <v>The Netherlands</v>
      </c>
      <c r="H38" t="str">
        <v>Scouting Nederland</v>
      </c>
      <c r="I38" t="str">
        <v>Marnix van Sint Aldegonde</v>
      </c>
      <c r="J38">
        <v>2085</v>
      </c>
      <c r="K38" t="str">
        <v>Vlaardingen</v>
      </c>
      <c r="L38">
        <v>5</v>
      </c>
      <c r="M38">
        <v>2</v>
      </c>
      <c r="N38" t="str">
        <v>Friday</v>
      </c>
      <c r="O38" t="str">
        <v>12:00 - 15:00</v>
      </c>
      <c r="P38" t="str">
        <v>Monday</v>
      </c>
      <c r="Q38" t="str">
        <v>12:00 - 15:00</v>
      </c>
      <c r="R38">
        <v>0</v>
      </c>
      <c r="S38" t="str">
        <v>IST-15785</v>
      </c>
      <c r="T38">
        <v>175</v>
      </c>
      <c r="U38" t="str">
        <v>Mollie</v>
      </c>
      <c r="V38" t="str">
        <v>2024-11-30 19:45:35</v>
      </c>
      <c r="W38">
        <v>1732995935</v>
      </c>
      <c r="X38">
        <v>0</v>
      </c>
      <c r="Y38">
        <v>0</v>
      </c>
      <c r="Z38">
        <v>2</v>
      </c>
    </row>
    <row r="39" spans="1:26" x14ac:dyDescent="0.25">
      <c r="A39">
        <v>9</v>
      </c>
      <c r="B39" t="str">
        <v>Frans</v>
      </c>
      <c r="C39" t="str">
        <v>Nieuwenhuys</v>
      </c>
      <c r="D39" t="str">
        <v>f.nieuwenhuys@gmail.com</v>
      </c>
      <c r="E39" t="str">
        <v>+31646337186</v>
      </c>
      <c r="F39">
        <v>0</v>
      </c>
      <c r="G39" t="str">
        <v>The Netherlands</v>
      </c>
      <c r="H39" t="str">
        <v>Scouting Nederland</v>
      </c>
      <c r="I39" t="str">
        <v>Scouting St. Martinus</v>
      </c>
      <c r="J39">
        <v>1606</v>
      </c>
      <c r="K39" t="str">
        <v>Zaltbommel</v>
      </c>
      <c r="L39">
        <v>7</v>
      </c>
      <c r="M39">
        <v>3</v>
      </c>
      <c r="N39" t="str">
        <v>Friday</v>
      </c>
      <c r="O39" t="str">
        <v>12:00 - 15:00</v>
      </c>
      <c r="P39" t="str">
        <v>Monday</v>
      </c>
      <c r="Q39" t="str">
        <v>12:00 - 15:00</v>
      </c>
      <c r="R39">
        <v>0</v>
      </c>
      <c r="S39" t="str">
        <v>IST-21266</v>
      </c>
      <c r="T39">
        <v>250</v>
      </c>
      <c r="U39" t="str">
        <v>Mollie</v>
      </c>
      <c r="V39" t="str">
        <v>2024-11-30 19:48:36</v>
      </c>
      <c r="W39">
        <v>1732996116</v>
      </c>
      <c r="X39">
        <v>0</v>
      </c>
      <c r="Y39">
        <v>0</v>
      </c>
      <c r="Z39">
        <v>2</v>
      </c>
    </row>
    <row r="40" spans="1:26" x14ac:dyDescent="0.25">
      <c r="A40">
        <v>12</v>
      </c>
      <c r="B40" t="str">
        <v>Joey</v>
      </c>
      <c r="C40" t="str">
        <v>Gelissen</v>
      </c>
      <c r="D40" t="str">
        <v>joeygelissen@outlook.com</v>
      </c>
      <c r="E40" t="str">
        <v>+31645816844</v>
      </c>
      <c r="F40">
        <v>0</v>
      </c>
      <c r="G40" t="str">
        <v>The Netherlands</v>
      </c>
      <c r="H40" t="str">
        <v>Scouting Nederland</v>
      </c>
      <c r="I40" t="str">
        <v>Scouting St. Martinus Beek</v>
      </c>
      <c r="J40">
        <v>1415</v>
      </c>
      <c r="K40" t="str">
        <v>Beek (L)</v>
      </c>
      <c r="L40">
        <v>29</v>
      </c>
      <c r="M40">
        <v>6</v>
      </c>
      <c r="N40" t="str">
        <v>Friday</v>
      </c>
      <c r="O40" t="str">
        <v>15:00 - 18:00</v>
      </c>
      <c r="P40" t="str">
        <v>Monday</v>
      </c>
      <c r="Q40" t="str">
        <v>12:00 - 15:00</v>
      </c>
      <c r="R40">
        <v>0</v>
      </c>
      <c r="S40" t="str">
        <v>IST-10208</v>
      </c>
      <c r="T40">
        <v>875</v>
      </c>
      <c r="U40" t="str">
        <v>Mollie</v>
      </c>
      <c r="V40" t="str">
        <v>2024-11-30 19:59:14</v>
      </c>
      <c r="W40">
        <v>1732996754</v>
      </c>
      <c r="X40">
        <v>0</v>
      </c>
      <c r="Y40">
        <v>0</v>
      </c>
      <c r="Z40">
        <v>2</v>
      </c>
    </row>
    <row r="41" spans="1:26" x14ac:dyDescent="0.25">
      <c r="A41">
        <v>53</v>
      </c>
      <c r="B41" t="str">
        <v>Sofie</v>
      </c>
      <c r="C41" t="str">
        <v>Tijssen</v>
      </c>
      <c r="D41" t="str">
        <v>sofietijssen@hotmail.com</v>
      </c>
      <c r="E41" t="str">
        <v>+31612305045</v>
      </c>
      <c r="F41">
        <v>0</v>
      </c>
      <c r="G41" t="str">
        <v>The Netherlands</v>
      </c>
      <c r="H41" t="str">
        <v>Scouting Nederland</v>
      </c>
      <c r="I41" t="str">
        <v>Scouting Johannes Vianney</v>
      </c>
      <c r="J41">
        <v>1540</v>
      </c>
      <c r="K41" t="str">
        <v>Eindhoven</v>
      </c>
      <c r="L41">
        <v>34</v>
      </c>
      <c r="M41">
        <v>7</v>
      </c>
      <c r="N41" t="str">
        <v>Friday</v>
      </c>
      <c r="O41" t="str">
        <v>12:00 - 15:00</v>
      </c>
      <c r="P41" t="str">
        <v>Monday</v>
      </c>
      <c r="Q41" t="str">
        <v>12:00 - 15:00</v>
      </c>
      <c r="R41">
        <v>0</v>
      </c>
      <c r="S41" t="str">
        <v>IST-65379</v>
      </c>
      <c r="T41">
        <v>1025</v>
      </c>
      <c r="U41" t="str">
        <v>Mollie</v>
      </c>
      <c r="V41" t="str">
        <v>2024-12-20 13:01:11</v>
      </c>
      <c r="W41">
        <v>1734699671</v>
      </c>
      <c r="X41">
        <v>0</v>
      </c>
      <c r="Y41">
        <v>0</v>
      </c>
      <c r="Z41">
        <v>2</v>
      </c>
    </row>
    <row r="42" spans="1:26" x14ac:dyDescent="0.25">
      <c r="A42">
        <v>27</v>
      </c>
      <c r="B42" t="str">
        <v>Mattie</v>
      </c>
      <c r="C42" t="str">
        <v>Coolen</v>
      </c>
      <c r="D42" t="str">
        <v>mattie.coolen@bluewin.ch</v>
      </c>
      <c r="E42" t="str">
        <v>+41792585330</v>
      </c>
      <c r="F42">
        <v>0</v>
      </c>
      <c r="G42" t="str">
        <v>United States</v>
      </c>
      <c r="H42" t="str">
        <v>Boy Scouts of America - Transatlantic Council</v>
      </c>
      <c r="I42" t="str">
        <v>Troop 681 Basel</v>
      </c>
      <c r="J42" t="str">
        <v>0681</v>
      </c>
      <c r="K42" t="str">
        <v>Basel</v>
      </c>
      <c r="L42">
        <v>15</v>
      </c>
      <c r="M42">
        <v>5</v>
      </c>
      <c r="N42" t="str">
        <v>Friday</v>
      </c>
      <c r="O42" t="str">
        <v>18:00 - 21:00</v>
      </c>
      <c r="P42" t="str">
        <v>Monday</v>
      </c>
      <c r="Q42" t="str">
        <v>09:00 - 12:00</v>
      </c>
      <c r="R42" t="str">
        <v>We have 4 Adults signed up as we need drivers for our scouts and the equipment.  We have one additional Adult, Andrew Wright &lt;andrewwright675@btinternet.com&gt;. For the past two Intercamps, Andrew served in the TAC trading post. At the moment it is not clear that the trading post will be at Intercamp or if he will be asked to serve. However, he would like to attend the event and we are willing to host him. He will be traveling from and to Basel with us.</v>
      </c>
      <c r="S42" t="str">
        <v>IST-19768</v>
      </c>
      <c r="T42">
        <v>500</v>
      </c>
      <c r="U42" t="str">
        <v>Mollie</v>
      </c>
      <c r="V42" t="str">
        <v>2024-12-01 10:01:44</v>
      </c>
      <c r="W42">
        <v>1733047304</v>
      </c>
      <c r="X42">
        <v>1</v>
      </c>
      <c r="Y42" t="str">
        <v>Payment link sent</v>
      </c>
      <c r="Z42">
        <v>2</v>
      </c>
    </row>
    <row r="43" spans="1:26" x14ac:dyDescent="0.25">
      <c r="A43">
        <v>32</v>
      </c>
      <c r="B43" t="str">
        <v>Alyson</v>
      </c>
      <c r="C43" t="str">
        <v>Thompson</v>
      </c>
      <c r="D43" t="str">
        <v>alysonmthompson@gmail.com</v>
      </c>
      <c r="E43" t="str">
        <v>+1</v>
      </c>
      <c r="F43">
        <v>0</v>
      </c>
      <c r="G43" t="str">
        <v>United States</v>
      </c>
      <c r="H43" t="str">
        <v>Boy Scouts of America - Transatlantic Council</v>
      </c>
      <c r="I43" t="str">
        <v>1920G- Boy Scouts of America</v>
      </c>
      <c r="J43" t="str">
        <v>1920G</v>
      </c>
      <c r="K43" t="str">
        <v>Ramstein AB</v>
      </c>
      <c r="L43">
        <v>15</v>
      </c>
      <c r="M43">
        <v>3</v>
      </c>
      <c r="N43" t="str">
        <v>Friday</v>
      </c>
      <c r="O43" t="str">
        <v>18:00 - 21:00</v>
      </c>
      <c r="P43" t="str">
        <v>Monday</v>
      </c>
      <c r="Q43" t="str">
        <v>12:00 - 15:00</v>
      </c>
      <c r="R43" t="str">
        <v>This is a female troop, so I am requesting attendance for the scoutmaster (male), assistant scoutmaster (male), and a female adult.</v>
      </c>
      <c r="S43" t="str">
        <v>IST-64029</v>
      </c>
      <c r="T43">
        <v>300</v>
      </c>
      <c r="U43" t="str">
        <v>Mollie</v>
      </c>
      <c r="V43" t="str">
        <v>2024-12-01 18:15:56</v>
      </c>
      <c r="W43">
        <v>1733076956</v>
      </c>
      <c r="X43" t="str">
        <v>Need to pay for 6 extra scouts</v>
      </c>
      <c r="Y43">
        <v>0</v>
      </c>
      <c r="Z43">
        <v>2</v>
      </c>
    </row>
    <row r="44" spans="1:26" x14ac:dyDescent="0.25">
      <c r="A44">
        <v>43</v>
      </c>
      <c r="B44" t="str">
        <v>Joshua</v>
      </c>
      <c r="C44" t="str">
        <v>Gartner</v>
      </c>
      <c r="D44" t="str">
        <v>jpgartner@gmail.com</v>
      </c>
      <c r="E44" t="str">
        <v>+491756066993</v>
      </c>
      <c r="F44">
        <v>0</v>
      </c>
      <c r="G44" t="str">
        <v>United States</v>
      </c>
      <c r="H44" t="str">
        <v>Boy Scouts of America - Transatlantic Council</v>
      </c>
      <c r="I44" t="str">
        <v>Wiesbaden Troop</v>
      </c>
      <c r="J44" t="str">
        <v>Troop 107</v>
      </c>
      <c r="K44" t="str">
        <v>Wiesbaden</v>
      </c>
      <c r="L44">
        <v>25</v>
      </c>
      <c r="M44">
        <v>5</v>
      </c>
      <c r="N44" t="str">
        <v>Friday</v>
      </c>
      <c r="O44" t="str">
        <v>15:00 - 18:00</v>
      </c>
      <c r="P44" t="str">
        <v>Monday</v>
      </c>
      <c r="Q44" t="str">
        <v>09:00 - 12:00</v>
      </c>
      <c r="R44">
        <v>0</v>
      </c>
      <c r="S44" t="str">
        <v>IST-17338</v>
      </c>
      <c r="T44">
        <v>750</v>
      </c>
      <c r="U44" t="str">
        <v>Mollie</v>
      </c>
      <c r="V44" t="str">
        <v>2024-12-07 17:40:24</v>
      </c>
      <c r="W44">
        <v>1733593224</v>
      </c>
      <c r="X44">
        <v>0</v>
      </c>
      <c r="Y44">
        <v>0</v>
      </c>
      <c r="Z44">
        <v>2</v>
      </c>
    </row>
    <row r="45" spans="1:26" x14ac:dyDescent="0.25">
      <c r="A45">
        <v>51</v>
      </c>
      <c r="B45" t="str">
        <v>Steven</v>
      </c>
      <c r="C45" t="str">
        <v>Harker</v>
      </c>
      <c r="D45" t="str">
        <v>charker22@gmail.com</v>
      </c>
      <c r="E45" t="str">
        <v>+49</v>
      </c>
      <c r="F45" t="str">
        <v>Troop 240 B Intercamp Registration</v>
      </c>
      <c r="G45" t="str">
        <v>United States</v>
      </c>
      <c r="H45" t="str">
        <v>Boy Scouts of America - Transatlantic Council</v>
      </c>
      <c r="I45" t="str">
        <v>Troop 240</v>
      </c>
      <c r="J45">
        <v>240</v>
      </c>
      <c r="K45" t="str">
        <v>Grafenwoehr</v>
      </c>
      <c r="L45">
        <v>13</v>
      </c>
      <c r="M45">
        <v>3</v>
      </c>
      <c r="N45" t="str">
        <v>Friday</v>
      </c>
      <c r="O45" t="str">
        <v>18:00 - 21:00</v>
      </c>
      <c r="P45" t="str">
        <v>Monday</v>
      </c>
      <c r="Q45" t="str">
        <v>09:00 - 12:00</v>
      </c>
      <c r="R45" t="str">
        <v>We need two male leaders for our male scouts and one female leader for our Female scouts.</v>
      </c>
      <c r="S45" t="str">
        <v>IST-19596</v>
      </c>
      <c r="T45">
        <v>400</v>
      </c>
      <c r="U45" t="str">
        <v>Mollie</v>
      </c>
      <c r="V45" t="str">
        <v>2024-12-11 21:24:46</v>
      </c>
      <c r="W45">
        <v>1733952286</v>
      </c>
      <c r="X45">
        <v>0</v>
      </c>
      <c r="Y45">
        <v>0</v>
      </c>
      <c r="Z45">
        <v>2</v>
      </c>
    </row>
    <row r="46" spans="1:26" x14ac:dyDescent="0.25">
      <c r="A46">
        <v>126</v>
      </c>
      <c r="B46" t="str">
        <v>JASON</v>
      </c>
      <c r="C46" t="str">
        <v>MUELLER</v>
      </c>
      <c r="D46" t="str">
        <v>jmueller6002@yahoo.com</v>
      </c>
      <c r="E46" t="str">
        <v>+4915209233692</v>
      </c>
      <c r="F46">
        <v>0</v>
      </c>
      <c r="G46" t="str">
        <v>United States</v>
      </c>
      <c r="H46" t="str">
        <v>Boy Scouts of America - Transatlantic Council</v>
      </c>
      <c r="I46">
        <v>303</v>
      </c>
      <c r="J46" t="str">
        <v>0303</v>
      </c>
      <c r="K46" t="str">
        <v>Hohenfels</v>
      </c>
      <c r="L46">
        <v>8</v>
      </c>
      <c r="M46">
        <v>3</v>
      </c>
      <c r="N46" t="str">
        <v>Friday</v>
      </c>
      <c r="O46" t="str">
        <v>12:00 - 15:00</v>
      </c>
      <c r="P46" t="str">
        <v>Monday</v>
      </c>
      <c r="Q46" t="str">
        <v>12:00 - 15:00</v>
      </c>
      <c r="R46">
        <v>0</v>
      </c>
      <c r="S46" t="str">
        <v>IST-40890</v>
      </c>
      <c r="T46">
        <v>275</v>
      </c>
      <c r="U46" t="str">
        <v>Mollie</v>
      </c>
      <c r="V46" t="str">
        <v>2025-02-27 18:28:15</v>
      </c>
      <c r="W46">
        <v>1740680895</v>
      </c>
      <c r="X46">
        <v>0</v>
      </c>
      <c r="Y46">
        <v>0</v>
      </c>
      <c r="Z46">
        <v>2</v>
      </c>
    </row>
    <row r="47" spans="1:26" x14ac:dyDescent="0.25">
      <c r="A47">
        <v>31</v>
      </c>
      <c r="B47" t="str">
        <v>Sarah</v>
      </c>
      <c r="C47" t="str">
        <v>Parks</v>
      </c>
      <c r="D47" t="str">
        <v>parks.sarah@gmail.com</v>
      </c>
      <c r="E47" t="str">
        <v>+4915151847115</v>
      </c>
      <c r="F47">
        <v>0</v>
      </c>
      <c r="G47" t="str">
        <v>United States</v>
      </c>
      <c r="H47" t="str">
        <v>Girl Scouts of the USA</v>
      </c>
      <c r="I47" t="str">
        <v>Girl Scouts of the USA</v>
      </c>
      <c r="J47" t="str">
        <v>Stuttgart</v>
      </c>
      <c r="K47" t="str">
        <v>Stuttgart</v>
      </c>
      <c r="L47">
        <v>34</v>
      </c>
      <c r="M47">
        <v>7</v>
      </c>
      <c r="N47" t="str">
        <v>Friday</v>
      </c>
      <c r="O47" t="str">
        <v>15:00 - 18:00</v>
      </c>
      <c r="P47" t="str">
        <v>Sunday</v>
      </c>
      <c r="Q47" t="str">
        <v>15:00 - 18:00</v>
      </c>
      <c r="R47" t="str">
        <v>Bus arrives Sunday 17:30; camp needs to be close to road</v>
      </c>
      <c r="S47" t="str">
        <v>IST-87889</v>
      </c>
      <c r="T47">
        <v>1025</v>
      </c>
      <c r="U47" t="str">
        <v>Mollie</v>
      </c>
      <c r="V47" t="str">
        <v>2024-12-01 13:57:29</v>
      </c>
      <c r="W47">
        <v>1733061449</v>
      </c>
      <c r="X47">
        <v>0</v>
      </c>
      <c r="Y47">
        <v>0</v>
      </c>
      <c r="Z47">
        <v>2</v>
      </c>
    </row>
    <row r="48" spans="1:26" x14ac:dyDescent="0.25">
      <c r="A48">
        <v>50</v>
      </c>
      <c r="B48" t="str">
        <v>Helen</v>
      </c>
      <c r="C48" t="str">
        <v>Thurston</v>
      </c>
      <c r="D48" t="str">
        <v>helen.thurston2@gmail.com</v>
      </c>
      <c r="E48" t="str">
        <v>+41789765569</v>
      </c>
      <c r="F48" t="str">
        <v>Please send the invoice to be paid to: Jonathon Hopkins, USAGSO - Basel Treasurer, Schaienweg 2 Ettingen CH-4107 Switzerland</v>
      </c>
      <c r="G48" t="str">
        <v>United States</v>
      </c>
      <c r="H48" t="str">
        <v>Girl Scouts of the USA</v>
      </c>
      <c r="I48" t="str">
        <v>White Roses / USA girl scouts overseas</v>
      </c>
      <c r="J48">
        <v>38738</v>
      </c>
      <c r="K48" t="str">
        <v>Basel</v>
      </c>
      <c r="L48">
        <v>6</v>
      </c>
      <c r="M48">
        <v>2</v>
      </c>
      <c r="N48" t="str">
        <v>Friday</v>
      </c>
      <c r="O48" t="str">
        <v>18:00 - 21:00</v>
      </c>
      <c r="P48" t="str">
        <v>Monday</v>
      </c>
      <c r="Q48" t="str">
        <v>12:00 - 15:00</v>
      </c>
      <c r="R48" t="str">
        <v>We have not planned how we will get there yet but will let you know if anything changes from what I have estimated above. I hope that is okay.  Kind regards Helen</v>
      </c>
      <c r="S48" t="str">
        <v>IST-19969</v>
      </c>
      <c r="T48">
        <v>200</v>
      </c>
      <c r="U48" t="str">
        <v>Mollie</v>
      </c>
      <c r="V48" t="str">
        <v>2024-12-08 16:22:24</v>
      </c>
      <c r="W48">
        <v>1733674944</v>
      </c>
      <c r="X48">
        <v>0</v>
      </c>
      <c r="Y48">
        <v>0</v>
      </c>
      <c r="Z48">
        <v>2</v>
      </c>
    </row>
    <row r="58" spans="12:14" x14ac:dyDescent="0.25">
      <c r="L58">
        <f>SUM(L2:L49)</f>
        <v>685</v>
      </c>
      <c r="M58">
        <f>SUM(M2:M49)</f>
        <v>152</v>
      </c>
      <c r="N58">
        <f>L58+M58</f>
        <v>837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BE109-FED2-3946-B3C6-E21E714E60E0}">
  <dimension ref="A1:Z59"/>
  <sheetViews>
    <sheetView topLeftCell="D32" workbookViewId="0">
      <selection activeCell="L59" sqref="L59"/>
    </sheetView>
  </sheetViews>
  <sheetFormatPr defaultColWidth="11.42578125" defaultRowHeight="15" x14ac:dyDescent="0.25"/>
  <cols>
    <col min="9" max="9" width="28.28515625"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1166</v>
      </c>
      <c r="X1" s="1" t="s">
        <v>22</v>
      </c>
      <c r="Y1" s="1" t="s">
        <v>23</v>
      </c>
      <c r="Z1" s="1" t="s">
        <v>1167</v>
      </c>
    </row>
    <row r="2" spans="1:26" x14ac:dyDescent="0.25">
      <c r="A2" cm="1">
        <f t="array" ref="A2:Z48">_xlfn._xlws.FILTER('All Subcamps'!A2:Z139,'All Subcamps'!Z2:Z139=3)</f>
        <v>60</v>
      </c>
      <c r="B2" t="str">
        <v>Martin</v>
      </c>
      <c r="C2" t="str">
        <v>Kolarik</v>
      </c>
      <c r="D2" t="str">
        <v>smurf@skaut.cz</v>
      </c>
      <c r="E2" t="str">
        <v>+420723923943</v>
      </c>
      <c r="F2" t="str">
        <v>Junák – český skaut, středisko Járy Kaštila Prostějov, z. s.  Sokolská 30, 796 01 Prostějov Czech republic  IČO: 65762959</v>
      </c>
      <c r="G2" t="str">
        <v>Czech Republic</v>
      </c>
      <c r="H2" t="str">
        <v>JUNAK - cesky skaut</v>
      </c>
      <c r="I2" t="str">
        <v>JK</v>
      </c>
      <c r="J2">
        <v>713.05</v>
      </c>
      <c r="K2" t="str">
        <v>Prostejov</v>
      </c>
      <c r="L2">
        <v>20</v>
      </c>
      <c r="M2">
        <v>4</v>
      </c>
      <c r="N2" t="str">
        <v>Friday</v>
      </c>
      <c r="O2" t="str">
        <v>15:00 - 18:00</v>
      </c>
      <c r="P2" t="str">
        <v>Monday</v>
      </c>
      <c r="Q2" t="str">
        <v>09:00 - 12:00</v>
      </c>
      <c r="R2">
        <v>0</v>
      </c>
      <c r="S2" t="str">
        <v>IST-11762</v>
      </c>
      <c r="T2">
        <v>600</v>
      </c>
      <c r="U2" t="str">
        <v>Mollie</v>
      </c>
      <c r="V2" t="str">
        <v>2025-01-15 07:08:46</v>
      </c>
      <c r="W2">
        <v>1736924926</v>
      </c>
      <c r="X2">
        <v>0</v>
      </c>
      <c r="Y2">
        <v>0</v>
      </c>
      <c r="Z2">
        <v>3</v>
      </c>
    </row>
    <row r="3" spans="1:26" x14ac:dyDescent="0.25">
      <c r="A3">
        <v>61</v>
      </c>
      <c r="B3" t="str">
        <v>Pavel</v>
      </c>
      <c r="C3" t="str">
        <v>Šenkyřík</v>
      </c>
      <c r="D3" t="str">
        <v>180.veneta@gmail.com</v>
      </c>
      <c r="E3" t="str">
        <v>+420733233486</v>
      </c>
      <c r="F3" t="str">
        <v>Customer: Junák - český skaut, středisko Platan Praha, z. s. Adress: Viktorinova 1122/1,Praha 4 – Nusle, 140 00 Praha, Česká Republika IČO: 40613593</v>
      </c>
      <c r="G3" t="str">
        <v>Czech Republic</v>
      </c>
      <c r="H3" t="str">
        <v>JUNAK - cesky skaut</v>
      </c>
      <c r="I3" t="str">
        <v>Platan</v>
      </c>
      <c r="J3">
        <v>114.32</v>
      </c>
      <c r="K3" t="str">
        <v>Prague</v>
      </c>
      <c r="L3">
        <v>20</v>
      </c>
      <c r="M3">
        <v>3</v>
      </c>
      <c r="N3" t="str">
        <v>Friday</v>
      </c>
      <c r="O3" t="str">
        <v>18:00 - 21:00</v>
      </c>
      <c r="P3" t="str">
        <v>Monday</v>
      </c>
      <c r="Q3" t="str">
        <v>09:00 - 12:00</v>
      </c>
      <c r="R3">
        <v>0</v>
      </c>
      <c r="S3" t="str">
        <v>IST-32540</v>
      </c>
      <c r="T3">
        <v>575</v>
      </c>
      <c r="U3" t="str">
        <v>Mollie</v>
      </c>
      <c r="V3" t="str">
        <v>2025-01-18 14:39:42</v>
      </c>
      <c r="W3">
        <v>1737211182</v>
      </c>
      <c r="X3">
        <v>0</v>
      </c>
      <c r="Y3">
        <v>0</v>
      </c>
      <c r="Z3">
        <v>3</v>
      </c>
    </row>
    <row r="4" spans="1:26" x14ac:dyDescent="0.25">
      <c r="A4">
        <v>70</v>
      </c>
      <c r="B4" t="str">
        <v>Dana</v>
      </c>
      <c r="C4" t="str">
        <v>Tarantová</v>
      </c>
      <c r="D4" t="str">
        <v>komtesa.dana@gmail.com</v>
      </c>
      <c r="E4" t="str">
        <v>+420606227817</v>
      </c>
      <c r="F4" t="str">
        <v>Junák - český skaut, středisko Oheň Most, z. s. Slovenského národního povstání 1191 434 01  Most IČ: 41324919</v>
      </c>
      <c r="G4" t="str">
        <v>Czech Republic</v>
      </c>
      <c r="H4" t="str">
        <v>JUNAK - cesky skaut</v>
      </c>
      <c r="I4" t="str">
        <v>Junák - český skaut, středisko Oheň Most, z. s.</v>
      </c>
      <c r="J4">
        <v>42501</v>
      </c>
      <c r="K4" t="str">
        <v>Most</v>
      </c>
      <c r="L4">
        <v>20</v>
      </c>
      <c r="M4">
        <v>4</v>
      </c>
      <c r="N4" t="str">
        <v>Friday</v>
      </c>
      <c r="O4" t="str">
        <v>15:00 - 18:00</v>
      </c>
      <c r="P4" t="str">
        <v>Monday</v>
      </c>
      <c r="Q4" t="str">
        <v>09:00 - 12:00</v>
      </c>
      <c r="R4">
        <v>0</v>
      </c>
      <c r="S4" t="str">
        <v>IST-15385</v>
      </c>
      <c r="T4">
        <v>600</v>
      </c>
      <c r="U4" t="str">
        <v>Mollie</v>
      </c>
      <c r="V4" t="str">
        <v>2025-01-26 18:36:08</v>
      </c>
      <c r="W4">
        <v>1737916569</v>
      </c>
      <c r="X4">
        <v>0</v>
      </c>
      <c r="Y4">
        <v>0</v>
      </c>
      <c r="Z4">
        <v>3</v>
      </c>
    </row>
    <row r="5" spans="1:26" x14ac:dyDescent="0.25">
      <c r="A5">
        <v>71</v>
      </c>
      <c r="B5" t="str">
        <v>Ondřej</v>
      </c>
      <c r="C5" t="str">
        <v>Mikulčík</v>
      </c>
      <c r="D5" t="str">
        <v>ondrej.mikulcik@gmail.com</v>
      </c>
      <c r="E5" t="str">
        <v>+420702282329</v>
      </c>
      <c r="F5" t="str">
        <v>Junák Český skaut -  středisko Vizovice z.s. Razov 761 Vizovice 76312 Czech republic IC: 46277404</v>
      </c>
      <c r="G5" t="str">
        <v>Czech Republic</v>
      </c>
      <c r="H5" t="str">
        <v>JUNAK - cesky skaut</v>
      </c>
      <c r="I5" t="str">
        <v>Vizovice</v>
      </c>
      <c r="J5">
        <v>724.12</v>
      </c>
      <c r="K5" t="str">
        <v>Vizovice</v>
      </c>
      <c r="L5">
        <v>13</v>
      </c>
      <c r="M5">
        <v>2</v>
      </c>
      <c r="N5" t="str">
        <v>Friday</v>
      </c>
      <c r="O5" t="str">
        <v>09:00 - 12:00</v>
      </c>
      <c r="P5" t="str">
        <v>Monday</v>
      </c>
      <c r="Q5" t="str">
        <v>09:00 - 12:00</v>
      </c>
      <c r="R5">
        <v>0</v>
      </c>
      <c r="S5" t="str">
        <v>IST-29006</v>
      </c>
      <c r="T5">
        <v>375</v>
      </c>
      <c r="U5" t="str">
        <v>Mollie</v>
      </c>
      <c r="V5" t="str">
        <v>2025-01-28 16:33:49</v>
      </c>
      <c r="W5">
        <v>1738082029</v>
      </c>
      <c r="X5">
        <v>0</v>
      </c>
      <c r="Y5">
        <v>0</v>
      </c>
      <c r="Z5">
        <v>3</v>
      </c>
    </row>
    <row r="6" spans="1:26" x14ac:dyDescent="0.25">
      <c r="A6">
        <v>73</v>
      </c>
      <c r="B6" t="str">
        <v>Jonáš</v>
      </c>
      <c r="C6" t="str">
        <v>Novotný</v>
      </c>
      <c r="D6" t="str">
        <v>novotny.jonas@seznam.cz</v>
      </c>
      <c r="E6" t="str">
        <v>+420731403977</v>
      </c>
      <c r="F6">
        <v>0</v>
      </c>
      <c r="G6" t="str">
        <v>Czech Republic</v>
      </c>
      <c r="H6" t="str">
        <v>JUNAK - cesky skaut</v>
      </c>
      <c r="I6" t="str">
        <v>Anikrok a Dvojka</v>
      </c>
      <c r="J6">
        <v>532.08000000000004</v>
      </c>
      <c r="K6" t="str">
        <v>Přelouč</v>
      </c>
      <c r="L6">
        <v>14</v>
      </c>
      <c r="M6">
        <v>4</v>
      </c>
      <c r="N6" t="str">
        <v>Friday</v>
      </c>
      <c r="O6" t="str">
        <v>12:00 - 15:00</v>
      </c>
      <c r="P6" t="str">
        <v>Monday</v>
      </c>
      <c r="Q6" t="str">
        <v>09:00 - 12:00</v>
      </c>
      <c r="R6">
        <v>0</v>
      </c>
      <c r="S6" t="str">
        <v>IST-95252</v>
      </c>
      <c r="T6">
        <v>450</v>
      </c>
      <c r="U6" t="str">
        <v>Mollie</v>
      </c>
      <c r="V6" t="str">
        <v>2025-01-28 19:30:24</v>
      </c>
      <c r="W6">
        <v>1738092624</v>
      </c>
      <c r="X6">
        <v>0</v>
      </c>
      <c r="Y6">
        <v>0</v>
      </c>
      <c r="Z6">
        <v>3</v>
      </c>
    </row>
    <row r="7" spans="1:26" x14ac:dyDescent="0.25">
      <c r="A7">
        <v>75</v>
      </c>
      <c r="B7" t="str">
        <v>Agáta</v>
      </c>
      <c r="C7" t="str">
        <v>Navrkalová</v>
      </c>
      <c r="D7" t="str">
        <v>agata.nvr@skaut.cz</v>
      </c>
      <c r="E7" t="str">
        <v>+420773301941</v>
      </c>
      <c r="F7">
        <v>0</v>
      </c>
      <c r="G7" t="str">
        <v>Czech Republic</v>
      </c>
      <c r="H7" t="str">
        <v>JUNAK - cesky skaut</v>
      </c>
      <c r="I7" t="str">
        <v>Junák - český skaut, středisko Podyjí Znojmo, z. s.</v>
      </c>
      <c r="J7">
        <v>627.02</v>
      </c>
      <c r="K7" t="str">
        <v>Znojmo</v>
      </c>
      <c r="L7">
        <v>8</v>
      </c>
      <c r="M7">
        <v>2</v>
      </c>
      <c r="N7" t="str">
        <v>Friday</v>
      </c>
      <c r="O7" t="str">
        <v>09:00 - 12:00</v>
      </c>
      <c r="P7" t="str">
        <v>Monday</v>
      </c>
      <c r="Q7" t="str">
        <v>12:00 - 15:00</v>
      </c>
      <c r="R7">
        <v>0</v>
      </c>
      <c r="S7" t="str">
        <v>IST-18787</v>
      </c>
      <c r="T7">
        <v>250</v>
      </c>
      <c r="U7" t="str">
        <v>Mollie</v>
      </c>
      <c r="V7" t="str">
        <v>2025-01-31 10:36:55</v>
      </c>
      <c r="W7">
        <v>1738319816</v>
      </c>
      <c r="X7">
        <v>0</v>
      </c>
      <c r="Y7">
        <v>0</v>
      </c>
      <c r="Z7">
        <v>3</v>
      </c>
    </row>
    <row r="8" spans="1:26" x14ac:dyDescent="0.25">
      <c r="A8">
        <v>83</v>
      </c>
      <c r="B8" t="str">
        <v>Kateřina</v>
      </c>
      <c r="C8" t="str">
        <v>Tuháčková</v>
      </c>
      <c r="D8" t="str">
        <v>katy58@skaut.cz</v>
      </c>
      <c r="E8" t="str">
        <v>+420725882920</v>
      </c>
      <c r="F8">
        <v>0</v>
      </c>
      <c r="G8" t="str">
        <v>Czech Republic</v>
      </c>
      <c r="H8" t="str">
        <v>JUNAK - cesky skaut</v>
      </c>
      <c r="I8" t="str">
        <v>Sluneční údolí</v>
      </c>
      <c r="J8" t="str">
        <v>323.05.058</v>
      </c>
      <c r="K8" t="str">
        <v>Starý Plzenec</v>
      </c>
      <c r="L8">
        <v>8</v>
      </c>
      <c r="M8">
        <v>1</v>
      </c>
      <c r="N8" t="str">
        <v>Friday</v>
      </c>
      <c r="O8" t="str">
        <v>15:00 - 18:00</v>
      </c>
      <c r="P8" t="str">
        <v>Monday</v>
      </c>
      <c r="Q8" t="str">
        <v>09:00 - 12:00</v>
      </c>
      <c r="R8">
        <v>0</v>
      </c>
      <c r="S8" t="str">
        <v>IST-11470</v>
      </c>
      <c r="T8">
        <v>225</v>
      </c>
      <c r="U8" t="str">
        <v>Mollie</v>
      </c>
      <c r="V8" t="str">
        <v>2025-02-03 20:18:05</v>
      </c>
      <c r="W8">
        <v>1738613885</v>
      </c>
      <c r="X8">
        <v>0</v>
      </c>
      <c r="Y8">
        <v>0</v>
      </c>
      <c r="Z8">
        <v>3</v>
      </c>
    </row>
    <row r="9" spans="1:26" x14ac:dyDescent="0.25">
      <c r="A9">
        <v>105</v>
      </c>
      <c r="B9" t="str">
        <v>Kateřina</v>
      </c>
      <c r="C9" t="str">
        <v>Čechová</v>
      </c>
      <c r="D9" t="str">
        <v>albus@skaut.cz</v>
      </c>
      <c r="E9" t="str">
        <v>+420602144407</v>
      </c>
      <c r="F9" t="str">
        <v>Junák – český skaut, středisko Bílý los Praha, z. s. , Praha   Liborova 470/2, Praha 6 – Břevnov, 16900  IČ: 61389650</v>
      </c>
      <c r="G9" t="str">
        <v>Czech Republic</v>
      </c>
      <c r="H9" t="str">
        <v>JUNAK - cesky skaut</v>
      </c>
      <c r="I9" t="str">
        <v>Bílý los</v>
      </c>
      <c r="J9">
        <v>116.33</v>
      </c>
      <c r="K9" t="str">
        <v>Prague</v>
      </c>
      <c r="L9">
        <v>6</v>
      </c>
      <c r="M9">
        <v>1</v>
      </c>
      <c r="N9" t="str">
        <v>Friday</v>
      </c>
      <c r="O9" t="str">
        <v>15:00 - 18:00</v>
      </c>
      <c r="P9" t="str">
        <v>Monday</v>
      </c>
      <c r="Q9" t="str">
        <v>12:00 - 15:00</v>
      </c>
      <c r="R9" t="str">
        <v>Hello, we are not sure about out arrival and departure time, but I think we will be flexible about that. We are going to order bus with another few troops form our area. Greets, Katka Čechová  - Albus.</v>
      </c>
      <c r="S9" t="str">
        <v>IST-15861</v>
      </c>
      <c r="T9">
        <v>175</v>
      </c>
      <c r="U9" t="str">
        <v>Mollie</v>
      </c>
      <c r="V9" t="str">
        <v>2025-02-10 18:13:21</v>
      </c>
      <c r="W9">
        <v>1739211201</v>
      </c>
      <c r="X9">
        <v>0</v>
      </c>
      <c r="Y9">
        <v>0</v>
      </c>
      <c r="Z9">
        <v>3</v>
      </c>
    </row>
    <row r="10" spans="1:26" x14ac:dyDescent="0.25">
      <c r="A10">
        <v>106</v>
      </c>
      <c r="B10" t="str">
        <v>Miroslav</v>
      </c>
      <c r="C10" t="str">
        <v>Král</v>
      </c>
      <c r="D10" t="str">
        <v>usteckadvojka@gmail.com</v>
      </c>
      <c r="E10" t="str">
        <v>+420605567227</v>
      </c>
      <c r="F10">
        <v>0</v>
      </c>
      <c r="G10" t="str">
        <v>Czech Republic</v>
      </c>
      <c r="H10" t="str">
        <v>JUNAK - cesky skaut</v>
      </c>
      <c r="I10" t="str">
        <v>Ústecká dvojka</v>
      </c>
      <c r="J10" t="str">
        <v>427.01.002</v>
      </c>
      <c r="K10" t="str">
        <v>Ústí nad Labem</v>
      </c>
      <c r="L10">
        <v>20</v>
      </c>
      <c r="M10">
        <v>4</v>
      </c>
      <c r="N10" t="str">
        <v>Friday</v>
      </c>
      <c r="O10" t="str">
        <v>15:00 - 18:00</v>
      </c>
      <c r="P10" t="str">
        <v>Monday</v>
      </c>
      <c r="Q10" t="str">
        <v>09:00 - 12:00</v>
      </c>
      <c r="R10">
        <v>0</v>
      </c>
      <c r="S10" t="str">
        <v>IST-21250</v>
      </c>
      <c r="T10">
        <v>600</v>
      </c>
      <c r="U10" t="str">
        <v>Mollie</v>
      </c>
      <c r="V10" t="str">
        <v>2025-02-11 16:48:31</v>
      </c>
      <c r="W10">
        <v>1739292511</v>
      </c>
      <c r="X10">
        <v>0</v>
      </c>
      <c r="Y10">
        <v>0</v>
      </c>
      <c r="Z10">
        <v>3</v>
      </c>
    </row>
    <row r="11" spans="1:26" x14ac:dyDescent="0.25">
      <c r="A11">
        <v>130</v>
      </c>
      <c r="B11" t="str">
        <v>Mikuláš</v>
      </c>
      <c r="C11" t="str">
        <v>Jandík</v>
      </c>
      <c r="D11" t="str">
        <v>jandik.mikulasz@gmail.com</v>
      </c>
      <c r="E11" t="str">
        <v>+420731743330</v>
      </c>
      <c r="F11" t="str">
        <v>Junák - český skaut, Středisko bratří Mašínů Praha z. s., Čihákova 1791/20, Praha 9, 190 00</v>
      </c>
      <c r="G11" t="str">
        <v>Czech Republic</v>
      </c>
      <c r="H11" t="str">
        <v>JUNAK - cesky skaut</v>
      </c>
      <c r="I11" t="str">
        <v>Ginkgo</v>
      </c>
      <c r="J11">
        <v>112.53</v>
      </c>
      <c r="K11" t="str">
        <v>Praha</v>
      </c>
      <c r="L11">
        <v>13</v>
      </c>
      <c r="M11">
        <v>2</v>
      </c>
      <c r="N11" t="str">
        <v>Friday</v>
      </c>
      <c r="O11" t="str">
        <v>18:00 - 21:00</v>
      </c>
      <c r="P11" t="str">
        <v>Monday</v>
      </c>
      <c r="Q11" t="str">
        <v>09:00 - 12:00</v>
      </c>
      <c r="R11" t="str">
        <v>It is possible that we will arrive at a different time (during Friday afternoon or evening).</v>
      </c>
      <c r="S11" t="str">
        <v>IST-18827</v>
      </c>
      <c r="T11">
        <v>375</v>
      </c>
      <c r="U11" t="str">
        <v>Mollie</v>
      </c>
      <c r="V11" t="str">
        <v>2025-03-20 17:00:41</v>
      </c>
      <c r="W11">
        <v>1742490041</v>
      </c>
      <c r="X11">
        <v>0</v>
      </c>
      <c r="Y11">
        <v>0</v>
      </c>
      <c r="Z11">
        <v>3</v>
      </c>
    </row>
    <row r="12" spans="1:26" x14ac:dyDescent="0.25">
      <c r="A12">
        <v>58</v>
      </c>
      <c r="B12" t="str">
        <v>POGGIO</v>
      </c>
      <c r="C12" t="str">
        <v>STEPHAN</v>
      </c>
      <c r="D12" t="str">
        <v>poggio.stephan@yahoo.com</v>
      </c>
      <c r="E12" t="str">
        <v>+33632153653</v>
      </c>
      <c r="F12">
        <v>0</v>
      </c>
      <c r="G12" t="str">
        <v>France</v>
      </c>
      <c r="H12" t="str">
        <v>Scoutisme Français</v>
      </c>
      <c r="I12" t="str">
        <v>Scout du Florival</v>
      </c>
      <c r="J12" t="str">
        <v>EEDF -  GUEBWILLER - SCOUTS DU FLORIVAL - 706019</v>
      </c>
      <c r="K12" t="str">
        <v>Guebwiller - Soultz</v>
      </c>
      <c r="L12">
        <v>21</v>
      </c>
      <c r="M12">
        <v>4</v>
      </c>
      <c r="N12" t="str">
        <v>Friday</v>
      </c>
      <c r="O12" t="str">
        <v>12:00 - 15:00</v>
      </c>
      <c r="P12" t="str">
        <v>Monday</v>
      </c>
      <c r="Q12" t="str">
        <v>09:00 - 12:00</v>
      </c>
      <c r="R12">
        <v>0</v>
      </c>
      <c r="S12" t="str">
        <v>IST-13515</v>
      </c>
      <c r="T12">
        <v>625</v>
      </c>
      <c r="U12" t="str">
        <v>Mollie</v>
      </c>
      <c r="V12" t="str">
        <v>2025-01-12 17:15:12</v>
      </c>
      <c r="W12">
        <v>1736702112</v>
      </c>
      <c r="X12">
        <v>0</v>
      </c>
      <c r="Y12">
        <v>0</v>
      </c>
      <c r="Z12">
        <v>3</v>
      </c>
    </row>
    <row r="13" spans="1:26" x14ac:dyDescent="0.25">
      <c r="A13">
        <v>25</v>
      </c>
      <c r="B13" t="str">
        <v>Daniela</v>
      </c>
      <c r="C13" t="str">
        <v>Kouril</v>
      </c>
      <c r="D13" t="str">
        <v>daniela@cityscouts.org</v>
      </c>
      <c r="E13" t="str">
        <v>+491605807584</v>
      </c>
      <c r="F13" t="str">
        <v>Falls Julia vom Dorp dieses Jahr in einem Subcampteam ist, möchten wir gerne in ihr Subcamp. Sie ist Leiterin in unserem Stamm.</v>
      </c>
      <c r="G13" t="str">
        <v>Germany</v>
      </c>
      <c r="H13" t="str">
        <v>Deutsche Pfadfinderschaft Sankt Georg</v>
      </c>
      <c r="I13" t="str">
        <v>Stamm Cityscouts</v>
      </c>
      <c r="J13" t="str">
        <v>010304</v>
      </c>
      <c r="K13" t="str">
        <v>Mönchengladbach</v>
      </c>
      <c r="L13">
        <v>27</v>
      </c>
      <c r="M13">
        <v>6</v>
      </c>
      <c r="N13" t="str">
        <v>Friday</v>
      </c>
      <c r="O13" t="str">
        <v>12:00 - 15:00</v>
      </c>
      <c r="P13" t="str">
        <v>Monday</v>
      </c>
      <c r="Q13" t="str">
        <v>12:00 - 15:00</v>
      </c>
      <c r="R13">
        <v>0</v>
      </c>
      <c r="S13" t="str">
        <v>IST-11133</v>
      </c>
      <c r="T13">
        <v>825</v>
      </c>
      <c r="U13" t="str">
        <v>Mollie</v>
      </c>
      <c r="V13" t="str">
        <v>2024-12-01 00:21:33</v>
      </c>
      <c r="W13">
        <v>1733012493</v>
      </c>
      <c r="X13">
        <v>0</v>
      </c>
      <c r="Y13">
        <v>0</v>
      </c>
      <c r="Z13">
        <v>3</v>
      </c>
    </row>
    <row r="14" spans="1:26" x14ac:dyDescent="0.25">
      <c r="A14">
        <v>26</v>
      </c>
      <c r="B14" t="str">
        <v>Jan</v>
      </c>
      <c r="C14" t="str">
        <v>Van den Brakel</v>
      </c>
      <c r="D14" t="str">
        <v>jbrl@cbs.nl</v>
      </c>
      <c r="E14" t="str">
        <v>+31</v>
      </c>
      <c r="F14" t="str">
        <v>I will pay via banktransfer.</v>
      </c>
      <c r="G14" t="str">
        <v>Germany</v>
      </c>
      <c r="H14" t="str">
        <v>Deutsche Pfadfinderschaft Sankt Georg</v>
      </c>
      <c r="I14" t="str">
        <v>St Nikolaus Gangelt</v>
      </c>
      <c r="J14" t="str">
        <v>010403</v>
      </c>
      <c r="K14" t="str">
        <v>Gangelt</v>
      </c>
      <c r="L14">
        <v>12</v>
      </c>
      <c r="M14">
        <v>4</v>
      </c>
      <c r="N14" t="str">
        <v>Friday</v>
      </c>
      <c r="O14" t="str">
        <v>12:00 - 15:00</v>
      </c>
      <c r="P14" t="str">
        <v>Monday</v>
      </c>
      <c r="Q14" t="str">
        <v>12:00 - 15:00</v>
      </c>
      <c r="R14" t="str">
        <v>WE need four leaders for transportation.</v>
      </c>
      <c r="S14" t="str">
        <v>IST-41645</v>
      </c>
      <c r="T14">
        <v>400</v>
      </c>
      <c r="U14" t="str">
        <v>Mollie</v>
      </c>
      <c r="V14" t="str">
        <v>2024-12-01 09:32:32</v>
      </c>
      <c r="W14">
        <v>1733045552</v>
      </c>
      <c r="X14">
        <v>0</v>
      </c>
      <c r="Y14">
        <v>0</v>
      </c>
      <c r="Z14">
        <v>3</v>
      </c>
    </row>
    <row r="15" spans="1:26" x14ac:dyDescent="0.25">
      <c r="A15">
        <v>28</v>
      </c>
      <c r="B15" t="str">
        <v>Katharina</v>
      </c>
      <c r="C15" t="str">
        <v>Wenderott</v>
      </c>
      <c r="D15" t="str">
        <v>k.wenderott@paderborn.com</v>
      </c>
      <c r="E15" t="str">
        <v>+4915750634181</v>
      </c>
      <c r="F15" t="str">
        <v>Pastoralbüro An St. Marien DPSG Phönix Bonn Heerstraße 128 53111 Bonn  lea@dpsg-phoenix.net</v>
      </c>
      <c r="G15" t="str">
        <v>Germany</v>
      </c>
      <c r="H15" t="str">
        <v>Deutsche Pfadfinderschaft Sankt Georg</v>
      </c>
      <c r="I15" t="str">
        <v>DPSG Phönix Bonn</v>
      </c>
      <c r="J15" t="str">
        <v>10/12/03</v>
      </c>
      <c r="K15" t="str">
        <v>Bonn</v>
      </c>
      <c r="L15">
        <v>26</v>
      </c>
      <c r="M15">
        <v>6</v>
      </c>
      <c r="N15" t="str">
        <v>Friday</v>
      </c>
      <c r="O15" t="str">
        <v>18:00 - 21:00</v>
      </c>
      <c r="P15" t="str">
        <v>Monday</v>
      </c>
      <c r="Q15" t="str">
        <v>09:00 - 12:00</v>
      </c>
      <c r="R15">
        <v>0</v>
      </c>
      <c r="S15" t="str">
        <v>IST-13423</v>
      </c>
      <c r="T15">
        <v>800</v>
      </c>
      <c r="U15" t="str">
        <v>Mollie</v>
      </c>
      <c r="V15" t="str">
        <v>2024-12-01 12:09:38</v>
      </c>
      <c r="W15">
        <v>1733054978</v>
      </c>
      <c r="X15">
        <v>0</v>
      </c>
      <c r="Y15">
        <v>0</v>
      </c>
      <c r="Z15">
        <v>3</v>
      </c>
    </row>
    <row r="16" spans="1:26" x14ac:dyDescent="0.25">
      <c r="A16">
        <v>29</v>
      </c>
      <c r="B16" t="str">
        <v>Sarah</v>
      </c>
      <c r="C16" t="str">
        <v>Corres</v>
      </c>
      <c r="D16" t="str">
        <v>corres.sarah@gmx.de</v>
      </c>
      <c r="E16" t="str">
        <v>+491754170858</v>
      </c>
      <c r="F16">
        <v>0</v>
      </c>
      <c r="G16" t="str">
        <v>Germany</v>
      </c>
      <c r="H16" t="str">
        <v>Deutsche Pfadfinderschaft Sankt Georg</v>
      </c>
      <c r="I16" t="str">
        <v>Pfadfinder Erkelenz</v>
      </c>
      <c r="J16" t="str">
        <v>010413</v>
      </c>
      <c r="K16" t="str">
        <v>Erkelenz</v>
      </c>
      <c r="L16">
        <v>25</v>
      </c>
      <c r="M16">
        <v>5</v>
      </c>
      <c r="N16" t="str">
        <v>Friday</v>
      </c>
      <c r="O16" t="str">
        <v>15:00 - 18:00</v>
      </c>
      <c r="P16" t="str">
        <v>Monday</v>
      </c>
      <c r="Q16" t="str">
        <v>09:00 - 12:00</v>
      </c>
      <c r="R16">
        <v>0</v>
      </c>
      <c r="S16" t="str">
        <v>IST-17411</v>
      </c>
      <c r="T16">
        <v>750</v>
      </c>
      <c r="U16" t="str">
        <v>Mollie</v>
      </c>
      <c r="V16" t="str">
        <v>2024-12-01 12:15:33</v>
      </c>
      <c r="W16">
        <v>1733055333</v>
      </c>
      <c r="X16">
        <v>0</v>
      </c>
      <c r="Y16">
        <v>0</v>
      </c>
      <c r="Z16">
        <v>3</v>
      </c>
    </row>
    <row r="17" spans="1:26" x14ac:dyDescent="0.25">
      <c r="A17">
        <v>34</v>
      </c>
      <c r="B17" t="str">
        <v>Svenja</v>
      </c>
      <c r="C17" t="str">
        <v>Walter</v>
      </c>
      <c r="D17" t="str">
        <v>svenjawalter95@web.de</v>
      </c>
      <c r="E17" t="str">
        <v>+491741021155</v>
      </c>
      <c r="F17">
        <v>0</v>
      </c>
      <c r="G17" t="str">
        <v>Germany</v>
      </c>
      <c r="H17" t="str">
        <v>Deutsche Pfadfinderschaft Sankt Georg</v>
      </c>
      <c r="I17" t="str">
        <v>DPSG Obertürkheim Stamm St.  Franziskus</v>
      </c>
      <c r="J17" t="str">
        <v>19/01/01</v>
      </c>
      <c r="K17" t="str">
        <v>Stuttgart</v>
      </c>
      <c r="L17">
        <v>5</v>
      </c>
      <c r="M17">
        <v>3</v>
      </c>
      <c r="N17" t="str">
        <v>Friday</v>
      </c>
      <c r="O17" t="str">
        <v>12:00 - 15:00</v>
      </c>
      <c r="P17" t="str">
        <v>Monday</v>
      </c>
      <c r="Q17" t="str">
        <v>12:00 - 15:00</v>
      </c>
      <c r="R17">
        <v>0</v>
      </c>
      <c r="S17" t="str">
        <v>IST-10640</v>
      </c>
      <c r="T17">
        <v>200</v>
      </c>
      <c r="U17" t="str">
        <v>Mollie</v>
      </c>
      <c r="V17" t="str">
        <v>2024-12-02 10:28:28</v>
      </c>
      <c r="W17">
        <v>1733135308</v>
      </c>
      <c r="X17">
        <v>0</v>
      </c>
      <c r="Y17">
        <v>0</v>
      </c>
      <c r="Z17">
        <v>3</v>
      </c>
    </row>
    <row r="18" spans="1:26" x14ac:dyDescent="0.25">
      <c r="A18">
        <v>39</v>
      </c>
      <c r="B18" t="str">
        <v>Fabian</v>
      </c>
      <c r="C18" t="str">
        <v>Dietzmann</v>
      </c>
      <c r="D18" t="str">
        <v>fabian.dietzmann@gmail.com</v>
      </c>
      <c r="E18" t="str">
        <v>+4917643431461</v>
      </c>
      <c r="F18">
        <v>0</v>
      </c>
      <c r="G18" t="str">
        <v>Germany</v>
      </c>
      <c r="H18" t="str">
        <v>Deutsche Pfadfinderschaft Sankt Georg</v>
      </c>
      <c r="I18" t="str">
        <v>Stamm von Berg</v>
      </c>
      <c r="J18" t="str">
        <v>0010010100</v>
      </c>
      <c r="K18" t="str">
        <v>Solingen</v>
      </c>
      <c r="L18">
        <v>22</v>
      </c>
      <c r="M18">
        <v>5</v>
      </c>
      <c r="N18" t="str">
        <v>Friday</v>
      </c>
      <c r="O18" t="str">
        <v>15:00 - 18:00</v>
      </c>
      <c r="P18" t="str">
        <v>Monday</v>
      </c>
      <c r="Q18" t="str">
        <v>09:00 - 12:00</v>
      </c>
      <c r="R18">
        <v>0</v>
      </c>
      <c r="S18" t="str">
        <v>IST-31582</v>
      </c>
      <c r="T18">
        <v>675</v>
      </c>
      <c r="U18" t="str">
        <v>Mollie</v>
      </c>
      <c r="V18" t="str">
        <v>2024-12-02 21:07:13</v>
      </c>
      <c r="W18">
        <v>1733173633</v>
      </c>
      <c r="X18">
        <v>0</v>
      </c>
      <c r="Y18">
        <v>0</v>
      </c>
      <c r="Z18">
        <v>3</v>
      </c>
    </row>
    <row r="19" spans="1:26" x14ac:dyDescent="0.25">
      <c r="A19">
        <v>46</v>
      </c>
      <c r="B19" t="str">
        <v>Annika</v>
      </c>
      <c r="C19" t="str">
        <v>Tobies</v>
      </c>
      <c r="D19" t="str">
        <v>an@tobies.info</v>
      </c>
      <c r="E19" t="str">
        <v>+4915734650329</v>
      </c>
      <c r="F19" t="str">
        <v>DPSG St. Rochus  Rochusstraße 223  53123 Bonn Germany</v>
      </c>
      <c r="G19" t="str">
        <v>Germany</v>
      </c>
      <c r="H19" t="str">
        <v>Deutsche Pfadfinderschaft Sankt Georg</v>
      </c>
      <c r="I19" t="str">
        <v>DPSG St. Rochus</v>
      </c>
      <c r="J19" t="str">
        <v>Pfadfinder</v>
      </c>
      <c r="K19" t="str">
        <v>Bonn</v>
      </c>
      <c r="L19">
        <v>9</v>
      </c>
      <c r="M19">
        <v>3</v>
      </c>
      <c r="N19" t="str">
        <v>Friday</v>
      </c>
      <c r="O19" t="str">
        <v>15:00 - 18:00</v>
      </c>
      <c r="P19" t="str">
        <v>Monday</v>
      </c>
      <c r="Q19" t="str">
        <v>12:00 - 15:00</v>
      </c>
      <c r="R19" t="str">
        <v>Hello, we've got two boys in our troop that have diagnosis in the field of adhd and autism that we want to include in our group activities. To do this we need to increase the number of leaders.   We are looking forward to this Intercamp! Cheers Annika</v>
      </c>
      <c r="S19" t="str">
        <v>IST-17682</v>
      </c>
      <c r="T19">
        <v>300</v>
      </c>
      <c r="U19" t="str">
        <v>Mollie</v>
      </c>
      <c r="V19" t="str">
        <v>2024-12-07 20:38:29</v>
      </c>
      <c r="W19">
        <v>1733603909</v>
      </c>
      <c r="X19">
        <v>0</v>
      </c>
      <c r="Y19">
        <v>0</v>
      </c>
      <c r="Z19">
        <v>3</v>
      </c>
    </row>
    <row r="20" spans="1:26" x14ac:dyDescent="0.25">
      <c r="A20">
        <v>16</v>
      </c>
      <c r="B20" t="str">
        <v>Vladimir</v>
      </c>
      <c r="C20" t="str">
        <v>Bilek</v>
      </c>
      <c r="D20" t="str">
        <v>v.bilek@email.cz</v>
      </c>
      <c r="E20" t="str">
        <v>+352621277044</v>
      </c>
      <c r="F20" t="str">
        <v>same as above</v>
      </c>
      <c r="G20" t="str">
        <v>Luxembourg</v>
      </c>
      <c r="H20" t="str">
        <v>Guests</v>
      </c>
      <c r="I20" t="str">
        <v>Telstar scouts international</v>
      </c>
      <c r="J20">
        <v>12345</v>
      </c>
      <c r="K20" t="str">
        <v>Luxembourg</v>
      </c>
      <c r="L20">
        <v>30</v>
      </c>
      <c r="M20">
        <v>5</v>
      </c>
      <c r="N20" t="str">
        <v>Friday</v>
      </c>
      <c r="O20" t="str">
        <v>18:00 - 21:00</v>
      </c>
      <c r="P20" t="str">
        <v>Monday</v>
      </c>
      <c r="Q20" t="str">
        <v>09:00 - 12:00</v>
      </c>
      <c r="R20">
        <v>0</v>
      </c>
      <c r="S20" t="str">
        <v>IST-23477</v>
      </c>
      <c r="T20">
        <v>875</v>
      </c>
      <c r="U20" t="str">
        <v>Mollie</v>
      </c>
      <c r="V20" t="str">
        <v>2024-11-30 23:10:24</v>
      </c>
      <c r="W20">
        <v>1733008224</v>
      </c>
      <c r="X20">
        <v>0</v>
      </c>
      <c r="Y20">
        <v>0</v>
      </c>
      <c r="Z20">
        <v>3</v>
      </c>
    </row>
    <row r="21" spans="1:26" x14ac:dyDescent="0.25">
      <c r="A21">
        <v>139</v>
      </c>
      <c r="B21" t="str">
        <v>András</v>
      </c>
      <c r="C21" t="str">
        <v>Imregh</v>
      </c>
      <c r="D21">
        <v>0</v>
      </c>
      <c r="E21">
        <v>0</v>
      </c>
      <c r="F21">
        <v>0</v>
      </c>
      <c r="G21" t="str">
        <v>Hungary</v>
      </c>
      <c r="H21" t="str">
        <v>Magyar Cserkészszövetség</v>
      </c>
      <c r="I21">
        <v>0</v>
      </c>
      <c r="J21">
        <v>0</v>
      </c>
      <c r="K21" t="str">
        <v>Budapest</v>
      </c>
      <c r="L21">
        <v>12</v>
      </c>
      <c r="M21">
        <v>5</v>
      </c>
      <c r="N21" t="str">
        <v>Friday</v>
      </c>
      <c r="O21" t="str">
        <v>15:00 - 18:00</v>
      </c>
      <c r="P21" t="str">
        <v>Monday</v>
      </c>
      <c r="Q21" t="str">
        <v>09:00 - 12:00</v>
      </c>
      <c r="R21">
        <v>0</v>
      </c>
      <c r="S21">
        <v>0</v>
      </c>
      <c r="T21">
        <v>0</v>
      </c>
      <c r="U21">
        <v>0</v>
      </c>
      <c r="V21">
        <v>0</v>
      </c>
      <c r="W21">
        <v>0</v>
      </c>
      <c r="X21" t="str">
        <v>575 euro to be paid</v>
      </c>
      <c r="Y21">
        <v>575</v>
      </c>
      <c r="Z21">
        <v>3</v>
      </c>
    </row>
    <row r="22" spans="1:26" x14ac:dyDescent="0.25">
      <c r="A22">
        <v>84</v>
      </c>
      <c r="B22" t="str">
        <v>Aleksandra</v>
      </c>
      <c r="C22" t="str">
        <v>Comblik</v>
      </c>
      <c r="D22" t="str">
        <v>aleksandra.comblik@zhp.net.pl</v>
      </c>
      <c r="E22" t="str">
        <v>+48510361821</v>
      </c>
      <c r="F22">
        <v>0</v>
      </c>
      <c r="G22" t="str">
        <v>Poland</v>
      </c>
      <c r="H22" t="str">
        <v>Zwiazek Harcerstwa Polskiego</v>
      </c>
      <c r="I22" t="str">
        <v>Silva</v>
      </c>
      <c r="J22">
        <v>76</v>
      </c>
      <c r="K22" t="str">
        <v>Gdansk</v>
      </c>
      <c r="L22">
        <v>13</v>
      </c>
      <c r="M22">
        <v>1</v>
      </c>
      <c r="N22" t="str">
        <v>Friday</v>
      </c>
      <c r="O22" t="str">
        <v>12:00 - 15:00</v>
      </c>
      <c r="P22" t="str">
        <v>Monday</v>
      </c>
      <c r="Q22" t="str">
        <v>09:00 - 12:00</v>
      </c>
      <c r="R22">
        <v>0</v>
      </c>
      <c r="S22" t="str">
        <v>IST-12664</v>
      </c>
      <c r="T22">
        <v>350</v>
      </c>
      <c r="U22" t="str">
        <v>Mollie</v>
      </c>
      <c r="V22" t="str">
        <v>2025-02-04 14:27:42</v>
      </c>
      <c r="W22">
        <v>1738679262</v>
      </c>
      <c r="X22">
        <v>0</v>
      </c>
      <c r="Y22">
        <v>0</v>
      </c>
      <c r="Z22">
        <v>3</v>
      </c>
    </row>
    <row r="23" spans="1:26" x14ac:dyDescent="0.25">
      <c r="A23">
        <v>90</v>
      </c>
      <c r="B23" t="str">
        <v>Joanna</v>
      </c>
      <c r="C23" t="str">
        <v>Poniatowska</v>
      </c>
      <c r="D23" t="str">
        <v>joanna.poniatowska@zhp.net.pl</v>
      </c>
      <c r="E23" t="str">
        <v>+48509069268</v>
      </c>
      <c r="F23">
        <v>0</v>
      </c>
      <c r="G23" t="str">
        <v>Poland</v>
      </c>
      <c r="H23" t="str">
        <v>Zwiazek Harcerstwa Polskiego</v>
      </c>
      <c r="I23" t="str">
        <v>13 WDH - patrol harcerski</v>
      </c>
      <c r="J23">
        <v>13</v>
      </c>
      <c r="K23" t="str">
        <v>Złotokłos</v>
      </c>
      <c r="L23">
        <v>15</v>
      </c>
      <c r="M23">
        <v>2</v>
      </c>
      <c r="N23" t="str">
        <v>Friday</v>
      </c>
      <c r="O23" t="str">
        <v>18:00 - 21:00</v>
      </c>
      <c r="P23" t="str">
        <v>Monday</v>
      </c>
      <c r="Q23" t="str">
        <v>09:00 - 12:00</v>
      </c>
      <c r="R23">
        <v>0</v>
      </c>
      <c r="S23" t="str">
        <v>IST-12701</v>
      </c>
      <c r="T23">
        <v>425</v>
      </c>
      <c r="U23" t="str">
        <v>Mollie</v>
      </c>
      <c r="V23" t="str">
        <v>2025-02-05 12:35:14</v>
      </c>
      <c r="W23">
        <v>1738758914</v>
      </c>
      <c r="X23">
        <v>0</v>
      </c>
      <c r="Y23">
        <v>0</v>
      </c>
      <c r="Z23">
        <v>3</v>
      </c>
    </row>
    <row r="24" spans="1:26" x14ac:dyDescent="0.25">
      <c r="A24">
        <v>91</v>
      </c>
      <c r="B24" t="str">
        <v>Oskar</v>
      </c>
      <c r="C24" t="str">
        <v>Kostyrka</v>
      </c>
      <c r="D24" t="str">
        <v>oskar.kostyrka@zhp.net.pl</v>
      </c>
      <c r="E24" t="str">
        <v>+48535003542</v>
      </c>
      <c r="F24">
        <v>0</v>
      </c>
      <c r="G24" t="str">
        <v>Poland</v>
      </c>
      <c r="H24" t="str">
        <v>Zwiazek Harcerstwa Polskiego</v>
      </c>
      <c r="I24" t="str">
        <v>13WDH patrol starszoharcerski</v>
      </c>
      <c r="J24">
        <v>13</v>
      </c>
      <c r="K24" t="str">
        <v>Złotokłos</v>
      </c>
      <c r="L24">
        <v>14</v>
      </c>
      <c r="M24">
        <v>2</v>
      </c>
      <c r="N24" t="str">
        <v>Friday</v>
      </c>
      <c r="O24" t="str">
        <v>15:00 - 18:00</v>
      </c>
      <c r="P24" t="str">
        <v>Monday</v>
      </c>
      <c r="Q24" t="str">
        <v>09:00 - 12:00</v>
      </c>
      <c r="R24">
        <v>0</v>
      </c>
      <c r="S24" t="str">
        <v>IST-17219</v>
      </c>
      <c r="T24">
        <v>400</v>
      </c>
      <c r="U24" t="str">
        <v>Mollie</v>
      </c>
      <c r="V24" t="str">
        <v>2025-02-05 12:37:30</v>
      </c>
      <c r="W24">
        <v>1738759050</v>
      </c>
      <c r="X24">
        <v>0</v>
      </c>
      <c r="Y24">
        <v>0</v>
      </c>
      <c r="Z24">
        <v>3</v>
      </c>
    </row>
    <row r="25" spans="1:26" x14ac:dyDescent="0.25">
      <c r="A25">
        <v>93</v>
      </c>
      <c r="B25" t="str">
        <v>Nikola</v>
      </c>
      <c r="C25" t="str">
        <v>Mulewska</v>
      </c>
      <c r="D25" t="str">
        <v>nikola.mulewska@zhp.net.pl</v>
      </c>
      <c r="E25" t="str">
        <v>+48505834404</v>
      </c>
      <c r="F25">
        <v>0</v>
      </c>
      <c r="G25" t="str">
        <v>Poland</v>
      </c>
      <c r="H25" t="str">
        <v>Zwiazek Harcerstwa Polskiego</v>
      </c>
      <c r="I25" t="str">
        <v>71N</v>
      </c>
      <c r="J25">
        <v>71</v>
      </c>
      <c r="K25" t="str">
        <v>Gdańsk</v>
      </c>
      <c r="L25">
        <v>8</v>
      </c>
      <c r="M25">
        <v>1</v>
      </c>
      <c r="N25" t="str">
        <v>Friday</v>
      </c>
      <c r="O25" t="str">
        <v>15:00 - 18:00</v>
      </c>
      <c r="P25" t="str">
        <v>Monday</v>
      </c>
      <c r="Q25" t="str">
        <v>09:00 - 12:00</v>
      </c>
      <c r="R25" t="str">
        <v>In there is an option we wolud like to be togeter with 71A, 76 Silva, 74 GDH „Kotwice”, 78 Dianthus and when still tehre is posibility we would like to be also with 98 Płomienne zorze, 94 GDSH ,,Venga, vamos!", Nebula. Thank you!</v>
      </c>
      <c r="S25" t="str">
        <v>IST-17468</v>
      </c>
      <c r="T25">
        <v>225</v>
      </c>
      <c r="U25" t="str">
        <v>Mollie</v>
      </c>
      <c r="V25" t="str">
        <v>2025-02-05 14:07:06</v>
      </c>
      <c r="W25">
        <v>1738764426</v>
      </c>
      <c r="X25">
        <v>0</v>
      </c>
      <c r="Y25">
        <v>0</v>
      </c>
      <c r="Z25">
        <v>3</v>
      </c>
    </row>
    <row r="26" spans="1:26" x14ac:dyDescent="0.25">
      <c r="A26">
        <v>94</v>
      </c>
      <c r="B26" t="str">
        <v>Adrianna</v>
      </c>
      <c r="C26" t="str">
        <v>Gutowska</v>
      </c>
      <c r="D26" t="str">
        <v>adrianna.gutowska@zhp.net.pl</v>
      </c>
      <c r="E26" t="str">
        <v>+48780121856</v>
      </c>
      <c r="F26">
        <v>0</v>
      </c>
      <c r="G26" t="str">
        <v>Poland</v>
      </c>
      <c r="H26" t="str">
        <v>Zwiazek Harcerstwa Polskiego</v>
      </c>
      <c r="I26" t="str">
        <v>71 A</v>
      </c>
      <c r="J26">
        <v>71</v>
      </c>
      <c r="K26" t="str">
        <v>Gdańsk</v>
      </c>
      <c r="L26">
        <v>7</v>
      </c>
      <c r="M26">
        <v>2</v>
      </c>
      <c r="N26" t="str">
        <v>Friday</v>
      </c>
      <c r="O26" t="str">
        <v>12:00 - 15:00</v>
      </c>
      <c r="P26" t="str">
        <v>Monday</v>
      </c>
      <c r="Q26" t="str">
        <v>09:00 - 12:00</v>
      </c>
      <c r="R26" t="str">
        <v>We are together with 71 N so the amount of children is 15 and we have 3 leaders. So proportions are Preserved.</v>
      </c>
      <c r="S26" t="str">
        <v>IST-11512</v>
      </c>
      <c r="T26">
        <v>225</v>
      </c>
      <c r="U26" t="str">
        <v>Mollie</v>
      </c>
      <c r="V26" t="str">
        <v>2025-02-05 14:14:47</v>
      </c>
      <c r="W26">
        <v>1738764887</v>
      </c>
      <c r="X26">
        <v>0</v>
      </c>
      <c r="Y26">
        <v>0</v>
      </c>
      <c r="Z26">
        <v>3</v>
      </c>
    </row>
    <row r="27" spans="1:26" x14ac:dyDescent="0.25">
      <c r="A27">
        <v>95</v>
      </c>
      <c r="B27" t="str">
        <v>Zuzanna</v>
      </c>
      <c r="C27" t="str">
        <v>Stankiewicz</v>
      </c>
      <c r="D27" t="str">
        <v>zuzanna.stankiewicz1@zhp.net.pl</v>
      </c>
      <c r="E27" t="str">
        <v>+48535225116</v>
      </c>
      <c r="F27">
        <v>0</v>
      </c>
      <c r="G27" t="str">
        <v>Poland</v>
      </c>
      <c r="H27" t="str">
        <v>Zwiazek Harcerstwa Polskiego</v>
      </c>
      <c r="I27" t="str">
        <v>Płomienne Zorze</v>
      </c>
      <c r="J27">
        <v>98</v>
      </c>
      <c r="K27" t="str">
        <v>Gdańsk</v>
      </c>
      <c r="L27">
        <v>7</v>
      </c>
      <c r="M27">
        <v>1</v>
      </c>
      <c r="N27" t="str">
        <v>Friday</v>
      </c>
      <c r="O27" t="str">
        <v>12:00 - 15:00</v>
      </c>
      <c r="P27" t="str">
        <v>Monday</v>
      </c>
      <c r="Q27" t="str">
        <v>09:00 - 12:00</v>
      </c>
      <c r="R27" t="str">
        <v>In there is an option we wolud like to be togeter with 71A, 71N, 76 Silva, 74 GDH „Kotwice”, 78 Dianthus and when still tehre is posibility we would like to be also with, 94 GDSH ,,Venga, vamos!", Nebula. Thank you!</v>
      </c>
      <c r="S27" t="str">
        <v>IST-20772</v>
      </c>
      <c r="T27">
        <v>200</v>
      </c>
      <c r="U27" t="str">
        <v>Mollie</v>
      </c>
      <c r="V27" t="str">
        <v>2025-02-05 14:19:18</v>
      </c>
      <c r="W27">
        <v>1738765158</v>
      </c>
      <c r="X27">
        <v>0</v>
      </c>
      <c r="Y27">
        <v>0</v>
      </c>
      <c r="Z27">
        <v>3</v>
      </c>
    </row>
    <row r="28" spans="1:26" x14ac:dyDescent="0.25">
      <c r="A28">
        <v>107</v>
      </c>
      <c r="B28" t="str">
        <v>Karolina</v>
      </c>
      <c r="C28" t="str">
        <v>Litwińska</v>
      </c>
      <c r="D28" t="str">
        <v>karolina.liwinska@zhp.net.pl</v>
      </c>
      <c r="E28" t="str">
        <v>+48 799196515</v>
      </c>
      <c r="F28" t="str">
        <v>Strumień 58</v>
      </c>
      <c r="G28" t="str">
        <v>Poland</v>
      </c>
      <c r="H28" t="str">
        <v>Zwiazek Harcerstwa Polskiego</v>
      </c>
      <c r="I28" t="str">
        <v>Strumień 58</v>
      </c>
      <c r="J28">
        <v>58</v>
      </c>
      <c r="K28" t="str">
        <v>Łódź</v>
      </c>
      <c r="L28">
        <v>14</v>
      </c>
      <c r="M28">
        <v>2</v>
      </c>
      <c r="N28" t="str">
        <v>Friday</v>
      </c>
      <c r="O28" t="str">
        <v>18:00 - 21:00</v>
      </c>
      <c r="P28" t="str">
        <v>Monday</v>
      </c>
      <c r="Q28" t="str">
        <v>09:00 - 12:00</v>
      </c>
      <c r="R28">
        <v>0</v>
      </c>
      <c r="S28" t="str">
        <v>IST-17075</v>
      </c>
      <c r="T28">
        <v>375</v>
      </c>
      <c r="U28" t="str">
        <v>Mollie</v>
      </c>
      <c r="V28" t="str">
        <v>2025-02-16 21:27:46</v>
      </c>
      <c r="W28">
        <v>1739741266</v>
      </c>
      <c r="X28" t="str">
        <v>Plus 1 to pay</v>
      </c>
      <c r="Y28">
        <v>0</v>
      </c>
      <c r="Z28">
        <v>3</v>
      </c>
    </row>
    <row r="29" spans="1:26" x14ac:dyDescent="0.25">
      <c r="A29">
        <v>118</v>
      </c>
      <c r="B29" t="str">
        <v>Maciej</v>
      </c>
      <c r="C29" t="str">
        <v>Rogowicz</v>
      </c>
      <c r="D29" t="str">
        <v>maciej.rogowicz@zhp.net.pl</v>
      </c>
      <c r="E29" t="str">
        <v>+48666677498</v>
      </c>
      <c r="F29">
        <v>0</v>
      </c>
      <c r="G29" t="str">
        <v>Poland</v>
      </c>
      <c r="H29" t="str">
        <v>Zwiazek Harcerstwa Polskiego</v>
      </c>
      <c r="I29" t="str">
        <v>Nebula</v>
      </c>
      <c r="J29">
        <v>141</v>
      </c>
      <c r="K29" t="str">
        <v>Gdańsk</v>
      </c>
      <c r="L29">
        <v>16</v>
      </c>
      <c r="M29">
        <v>1</v>
      </c>
      <c r="N29" t="str">
        <v>Friday</v>
      </c>
      <c r="O29" t="str">
        <v>15:00 - 18:00</v>
      </c>
      <c r="P29" t="str">
        <v>Monday</v>
      </c>
      <c r="Q29" t="str">
        <v>09:00 - 12:00</v>
      </c>
      <c r="R29" t="str">
        <v>We wolud like to be togeter with 76 Silva, 74 Kotwice, 71A and 71N, plomienne zorze, venda vamos and diathus, if it is possible or at least partly together</v>
      </c>
      <c r="S29" t="str">
        <v>IST-19439</v>
      </c>
      <c r="T29">
        <v>425</v>
      </c>
      <c r="U29" t="str">
        <v>Mollie</v>
      </c>
      <c r="V29" t="str">
        <v>2025-02-23 18:49:46</v>
      </c>
      <c r="W29">
        <v>1740336586</v>
      </c>
      <c r="X29">
        <v>0</v>
      </c>
      <c r="Y29">
        <v>0</v>
      </c>
      <c r="Z29">
        <v>3</v>
      </c>
    </row>
    <row r="30" spans="1:26" x14ac:dyDescent="0.25">
      <c r="A30">
        <v>122</v>
      </c>
      <c r="B30" t="str">
        <v>Julia</v>
      </c>
      <c r="C30" t="str">
        <v>Sało</v>
      </c>
      <c r="D30" t="str">
        <v>julia.salo@zhp.net.pl</v>
      </c>
      <c r="E30" t="str">
        <v>+48513504409</v>
      </c>
      <c r="F30">
        <v>0</v>
      </c>
      <c r="G30" t="str">
        <v>Poland</v>
      </c>
      <c r="H30" t="str">
        <v>Zwiazek Harcerstwa Polskiego</v>
      </c>
      <c r="I30" t="str">
        <v>Feniksiątka</v>
      </c>
      <c r="J30">
        <v>234</v>
      </c>
      <c r="K30" t="str">
        <v>Warszawa</v>
      </c>
      <c r="L30">
        <v>9</v>
      </c>
      <c r="M30">
        <v>2</v>
      </c>
      <c r="N30" t="str">
        <v>Friday</v>
      </c>
      <c r="O30" t="str">
        <v>15:00 - 18:00</v>
      </c>
      <c r="P30" t="str">
        <v>Monday</v>
      </c>
      <c r="Q30" t="str">
        <v>09:00 - 12:00</v>
      </c>
      <c r="R30" t="str">
        <v>Our patrol is from one team with the Feniksiaki patrol (leader-Joanna Zubek). If it would be possible, we would appreciate being located at a common camping spot, as we will share tents and equipment. Likewise with activities-we will be grateful if our hikes and activities are scheduled on the same days.</v>
      </c>
      <c r="S30" t="str">
        <v>IST-17697</v>
      </c>
      <c r="T30">
        <v>275</v>
      </c>
      <c r="U30" t="str">
        <v>Mollie</v>
      </c>
      <c r="V30" t="str">
        <v>2025-02-23 20:21:28</v>
      </c>
      <c r="W30">
        <v>1740342088</v>
      </c>
      <c r="X30">
        <v>0</v>
      </c>
      <c r="Y30">
        <v>0</v>
      </c>
      <c r="Z30">
        <v>3</v>
      </c>
    </row>
    <row r="31" spans="1:26" x14ac:dyDescent="0.25">
      <c r="A31">
        <v>123</v>
      </c>
      <c r="B31" t="str">
        <v>Dorota</v>
      </c>
      <c r="C31" t="str">
        <v>Kułaga</v>
      </c>
      <c r="D31" t="str">
        <v>dorota.kulaga@zhp.net.pl</v>
      </c>
      <c r="E31" t="str">
        <v>+48510454231</v>
      </c>
      <c r="F31">
        <v>0</v>
      </c>
      <c r="G31" t="str">
        <v>Poland</v>
      </c>
      <c r="H31" t="str">
        <v>Zwiazek Harcerstwa Polskiego</v>
      </c>
      <c r="I31" t="str">
        <v>74 GDH „Kotwice”</v>
      </c>
      <c r="J31">
        <v>74</v>
      </c>
      <c r="K31" t="str">
        <v>Gdańsk</v>
      </c>
      <c r="L31">
        <v>8</v>
      </c>
      <c r="M31">
        <v>2</v>
      </c>
      <c r="N31" t="str">
        <v>Friday</v>
      </c>
      <c r="O31" t="str">
        <v>15:00 - 18:00</v>
      </c>
      <c r="P31" t="str">
        <v>Monday</v>
      </c>
      <c r="Q31" t="str">
        <v>09:00 - 12:00</v>
      </c>
      <c r="R31" t="str">
        <v>If possible we would like to be togetger with all troops from Gdańsk or partly with them. (71A, 71N, 76 Silva, 141 Nebula, plomienne zorze, venda vamos, diathus)</v>
      </c>
      <c r="S31" t="str">
        <v>IST-31679</v>
      </c>
      <c r="T31">
        <v>250</v>
      </c>
      <c r="U31" t="str">
        <v>Mollie</v>
      </c>
      <c r="V31" t="str">
        <v>2025-02-23 20:30:09</v>
      </c>
      <c r="W31">
        <v>1740342609</v>
      </c>
      <c r="X31">
        <v>0</v>
      </c>
      <c r="Y31">
        <v>0</v>
      </c>
      <c r="Z31">
        <v>3</v>
      </c>
    </row>
    <row r="32" spans="1:26" x14ac:dyDescent="0.25">
      <c r="A32">
        <v>124</v>
      </c>
      <c r="B32" t="str">
        <v>Aleksandra</v>
      </c>
      <c r="C32" t="str">
        <v>Mocarska</v>
      </c>
      <c r="D32" t="str">
        <v>aleksandra.mocarska@zhp.net.pl</v>
      </c>
      <c r="E32" t="str">
        <v>+48881202503</v>
      </c>
      <c r="F32">
        <v>0</v>
      </c>
      <c r="G32" t="str">
        <v>Poland</v>
      </c>
      <c r="H32" t="str">
        <v>Zwiazek Harcerstwa Polskiego</v>
      </c>
      <c r="I32" t="str">
        <v>Dianthus</v>
      </c>
      <c r="J32">
        <v>78</v>
      </c>
      <c r="K32" t="str">
        <v>Gdańsk</v>
      </c>
      <c r="L32">
        <v>8</v>
      </c>
      <c r="M32">
        <v>1</v>
      </c>
      <c r="N32" t="str">
        <v>Friday</v>
      </c>
      <c r="O32" t="str">
        <v>15:00 - 18:00</v>
      </c>
      <c r="P32" t="str">
        <v>Monday</v>
      </c>
      <c r="Q32" t="str">
        <v>09:00 - 12:00</v>
      </c>
      <c r="R32" t="str">
        <v>If possible we would like to be together with 71A, 71N, 76 Silva, 74 Kotwice, 141 Nebula, plomienne zorze and venda vamos. Thank you!</v>
      </c>
      <c r="S32" t="str">
        <v>IST-10409</v>
      </c>
      <c r="T32">
        <v>225</v>
      </c>
      <c r="U32" t="str">
        <v>Mollie</v>
      </c>
      <c r="V32" t="str">
        <v>2025-02-23 20:34:23</v>
      </c>
      <c r="W32">
        <v>1740342863</v>
      </c>
      <c r="X32">
        <v>0</v>
      </c>
      <c r="Y32">
        <v>0</v>
      </c>
      <c r="Z32">
        <v>3</v>
      </c>
    </row>
    <row r="33" spans="1:26" x14ac:dyDescent="0.25">
      <c r="A33">
        <v>133</v>
      </c>
      <c r="B33" t="str">
        <v xml:space="preserve">Joanna </v>
      </c>
      <c r="C33" t="str">
        <v>Zubek</v>
      </c>
      <c r="D33" t="str">
        <v>joanna.zubek@zhp.net.pl</v>
      </c>
      <c r="E33" t="str">
        <v>+48 534152804</v>
      </c>
      <c r="F33">
        <v>0</v>
      </c>
      <c r="G33" t="str">
        <v>Poland</v>
      </c>
      <c r="H33" t="str">
        <v>Zwiazek Harcerstwa Polskiego</v>
      </c>
      <c r="I33" t="str">
        <v>Feniksiaki </v>
      </c>
      <c r="J33">
        <v>234</v>
      </c>
      <c r="K33" t="str">
        <v>Warszawa</v>
      </c>
      <c r="L33">
        <v>10</v>
      </c>
      <c r="M33">
        <v>2</v>
      </c>
      <c r="N33" t="str">
        <v>Friday</v>
      </c>
      <c r="O33" t="str">
        <v>15:00 - 18:00</v>
      </c>
      <c r="P33" t="str">
        <v>Monday</v>
      </c>
      <c r="Q33" t="str">
        <v>09:00 - 12:00</v>
      </c>
      <c r="R33" t="str">
        <v xml:space="preserve">Our patrol is from one team with the Feniksiątka patrol (leader-Julia Sało). If it would be possible, we would appreciate being located at a common camping spot, as we will share tents and equipment. Likewise with activities-we will be grateful if our hikes and activities are scheduled on the same days. </v>
      </c>
      <c r="S33" t="str">
        <v>IST</v>
      </c>
      <c r="T33">
        <v>0</v>
      </c>
      <c r="U33">
        <v>0</v>
      </c>
      <c r="V33">
        <v>0</v>
      </c>
      <c r="W33">
        <v>0</v>
      </c>
      <c r="X33" t="str">
        <v>300 euro to be paid</v>
      </c>
      <c r="Y33">
        <v>300</v>
      </c>
      <c r="Z33">
        <v>3</v>
      </c>
    </row>
    <row r="34" spans="1:26" x14ac:dyDescent="0.25">
      <c r="A34">
        <v>137</v>
      </c>
      <c r="B34" t="str">
        <v xml:space="preserve">Stanisław </v>
      </c>
      <c r="C34" t="str">
        <v>Szymczykowski</v>
      </c>
      <c r="D34" t="str">
        <v>stanislaw.szymczykowski@zhp.net.pl</v>
      </c>
      <c r="E34" t="str">
        <v>+48 784118055</v>
      </c>
      <c r="F34">
        <v>0</v>
      </c>
      <c r="G34" t="str">
        <v>Poland</v>
      </c>
      <c r="H34" t="str">
        <v>Zwiazek Harcerstwa Polskiego</v>
      </c>
      <c r="I34" t="str">
        <v>Błękitny Zenit</v>
      </c>
      <c r="J34" t="str">
        <v>147 </v>
      </c>
      <c r="K34" t="str">
        <v>Warszawa</v>
      </c>
      <c r="L34">
        <v>7</v>
      </c>
      <c r="M34">
        <v>2</v>
      </c>
      <c r="N34" t="str">
        <v>Friday</v>
      </c>
      <c r="O34" t="str">
        <v>15:00 - 18:00</v>
      </c>
      <c r="P34" t="str">
        <v>Monday</v>
      </c>
      <c r="Q34" t="str">
        <v>09:00 - 12:00</v>
      </c>
      <c r="R34">
        <v>0</v>
      </c>
      <c r="S34">
        <v>0</v>
      </c>
      <c r="T34">
        <v>0</v>
      </c>
      <c r="U34">
        <v>0</v>
      </c>
      <c r="V34">
        <v>0</v>
      </c>
      <c r="W34">
        <v>0</v>
      </c>
      <c r="X34" t="str">
        <v>225 euro to be paid</v>
      </c>
      <c r="Y34">
        <v>225</v>
      </c>
      <c r="Z34">
        <v>3</v>
      </c>
    </row>
    <row r="35" spans="1:26" x14ac:dyDescent="0.25">
      <c r="A35">
        <v>138</v>
      </c>
      <c r="B35" t="str">
        <v xml:space="preserve">Iga </v>
      </c>
      <c r="C35" t="str">
        <v>Woźniak</v>
      </c>
      <c r="D35" t="str">
        <v>iga.wozniak@zhp.net.pl</v>
      </c>
      <c r="E35" t="str">
        <v>+48 516061590</v>
      </c>
      <c r="F35">
        <v>0</v>
      </c>
      <c r="G35" t="str">
        <v>Poland</v>
      </c>
      <c r="H35" t="str">
        <v>Zwiazek Harcerstwa Polskiego</v>
      </c>
      <c r="I35" t="str">
        <v>94 GDSH ,,Venga, vamos!"</v>
      </c>
      <c r="J35">
        <v>94</v>
      </c>
      <c r="K35" t="str">
        <v>Gdańsk</v>
      </c>
      <c r="L35">
        <v>7</v>
      </c>
      <c r="M35">
        <v>1</v>
      </c>
      <c r="N35" t="str">
        <v>Friday</v>
      </c>
      <c r="O35" t="str">
        <v>15:00 - 18:00</v>
      </c>
      <c r="P35" t="str">
        <v>Monday</v>
      </c>
      <c r="Q35" t="str">
        <v>09:00 - 12:00</v>
      </c>
      <c r="R35">
        <v>0</v>
      </c>
      <c r="S35">
        <v>0</v>
      </c>
      <c r="T35">
        <v>0</v>
      </c>
      <c r="U35">
        <v>0</v>
      </c>
      <c r="V35">
        <v>0</v>
      </c>
      <c r="W35">
        <v>0</v>
      </c>
      <c r="X35" t="str">
        <v>200 euro to be paid</v>
      </c>
      <c r="Y35">
        <v>200</v>
      </c>
      <c r="Z35">
        <v>3</v>
      </c>
    </row>
    <row r="36" spans="1:26" x14ac:dyDescent="0.25">
      <c r="A36">
        <v>1</v>
      </c>
      <c r="B36" t="str">
        <v>Arno</v>
      </c>
      <c r="C36" t="str">
        <v>Bottema</v>
      </c>
      <c r="D36" t="str">
        <v>arno@scoutingmeerhoven.nl</v>
      </c>
      <c r="E36" t="str">
        <v>+31622250254</v>
      </c>
      <c r="F36">
        <v>0</v>
      </c>
      <c r="G36" t="str">
        <v>The Netherlands</v>
      </c>
      <c r="H36" t="str">
        <v>Scouting Nederland</v>
      </c>
      <c r="I36" t="str">
        <v>Sc.Burg.Welschen Meerhoven</v>
      </c>
      <c r="J36">
        <v>3097</v>
      </c>
      <c r="K36" t="str">
        <v>Eindhoven</v>
      </c>
      <c r="L36">
        <v>36</v>
      </c>
      <c r="M36">
        <v>6</v>
      </c>
      <c r="N36" t="str">
        <v>Friday</v>
      </c>
      <c r="O36" t="str">
        <v>12:00 - 15:00</v>
      </c>
      <c r="P36" t="str">
        <v>Monday</v>
      </c>
      <c r="Q36" t="str">
        <v>12:00 - 15:00</v>
      </c>
      <c r="R36">
        <v>0</v>
      </c>
      <c r="S36" t="str">
        <v>IST-90673</v>
      </c>
      <c r="T36">
        <v>1050</v>
      </c>
      <c r="U36" t="str">
        <v>Mollie</v>
      </c>
      <c r="V36" t="str">
        <v>2024-11-30 18:58:34</v>
      </c>
      <c r="W36">
        <v>1732993114</v>
      </c>
      <c r="X36">
        <v>0</v>
      </c>
      <c r="Y36">
        <v>0</v>
      </c>
      <c r="Z36">
        <v>3</v>
      </c>
    </row>
    <row r="37" spans="1:26" x14ac:dyDescent="0.25">
      <c r="A37">
        <v>10</v>
      </c>
      <c r="B37" t="str">
        <v>Gun</v>
      </c>
      <c r="C37" t="str">
        <v>Holtackers</v>
      </c>
      <c r="D37" t="str">
        <v>gun@hubovra.nl</v>
      </c>
      <c r="E37" t="str">
        <v>+31622090428</v>
      </c>
      <c r="F37">
        <v>0</v>
      </c>
      <c r="G37" t="str">
        <v>The Netherlands</v>
      </c>
      <c r="H37" t="str">
        <v>Scouting Nederland</v>
      </c>
      <c r="I37" t="str">
        <v>Scouting Hubovra</v>
      </c>
      <c r="J37">
        <v>1452</v>
      </c>
      <c r="K37" t="str">
        <v>Weert</v>
      </c>
      <c r="L37">
        <v>22</v>
      </c>
      <c r="M37">
        <v>5</v>
      </c>
      <c r="N37" t="str">
        <v>Friday</v>
      </c>
      <c r="O37" t="str">
        <v>12:00 - 15:00</v>
      </c>
      <c r="P37" t="str">
        <v>Monday</v>
      </c>
      <c r="Q37" t="str">
        <v>12:00 - 15:00</v>
      </c>
      <c r="R37">
        <v>0</v>
      </c>
      <c r="S37" t="str">
        <v>IST-10618</v>
      </c>
      <c r="T37">
        <v>675</v>
      </c>
      <c r="U37" t="str">
        <v>Mollie</v>
      </c>
      <c r="V37" t="str">
        <v>2024-11-30 19:50:43</v>
      </c>
      <c r="W37">
        <v>1732996243</v>
      </c>
      <c r="X37">
        <v>0</v>
      </c>
      <c r="Y37">
        <v>0</v>
      </c>
      <c r="Z37">
        <v>3</v>
      </c>
    </row>
    <row r="38" spans="1:26" x14ac:dyDescent="0.25">
      <c r="A38">
        <v>11</v>
      </c>
      <c r="B38" t="str">
        <v>Doortje</v>
      </c>
      <c r="C38" t="str">
        <v>Tiedink</v>
      </c>
      <c r="D38" t="str">
        <v>Doortjetiedink1@icloud.com</v>
      </c>
      <c r="E38" t="str">
        <v>+31628184483</v>
      </c>
      <c r="F38">
        <v>0</v>
      </c>
      <c r="G38" t="str">
        <v>The Netherlands</v>
      </c>
      <c r="H38" t="str">
        <v>Scouting Nederland</v>
      </c>
      <c r="I38" t="str">
        <v>Scouting Groessen</v>
      </c>
      <c r="J38">
        <v>1271</v>
      </c>
      <c r="K38" t="str">
        <v>Groessen</v>
      </c>
      <c r="L38">
        <v>23</v>
      </c>
      <c r="M38">
        <v>5</v>
      </c>
      <c r="N38" t="str">
        <v>Friday</v>
      </c>
      <c r="O38" t="str">
        <v>12:00 - 15:00</v>
      </c>
      <c r="P38" t="str">
        <v>Monday</v>
      </c>
      <c r="Q38" t="str">
        <v>12:00 - 15:00</v>
      </c>
      <c r="R38">
        <v>0</v>
      </c>
      <c r="S38" t="str">
        <v>IST-13152</v>
      </c>
      <c r="T38">
        <v>700</v>
      </c>
      <c r="U38" t="str">
        <v>Mollie</v>
      </c>
      <c r="V38" t="str">
        <v>2024-11-30 19:55:52</v>
      </c>
      <c r="W38">
        <v>1732996552</v>
      </c>
      <c r="X38">
        <v>0</v>
      </c>
      <c r="Y38">
        <v>0</v>
      </c>
      <c r="Z38">
        <v>3</v>
      </c>
    </row>
    <row r="39" spans="1:26" x14ac:dyDescent="0.25">
      <c r="A39">
        <v>14</v>
      </c>
      <c r="B39" t="str">
        <v>Anniek</v>
      </c>
      <c r="C39" t="str">
        <v>van den Hurk</v>
      </c>
      <c r="D39" t="str">
        <v>scouts@sintstanislaus.nl</v>
      </c>
      <c r="E39" t="str">
        <v>+31611335004</v>
      </c>
      <c r="F39">
        <v>0</v>
      </c>
      <c r="G39" t="str">
        <v>The Netherlands</v>
      </c>
      <c r="H39" t="str">
        <v>Scouting Nederland</v>
      </c>
      <c r="I39" t="str">
        <v>St. Stanislaus</v>
      </c>
      <c r="J39">
        <v>1208</v>
      </c>
      <c r="K39" t="str">
        <v>Culemborg</v>
      </c>
      <c r="L39">
        <v>25</v>
      </c>
      <c r="M39">
        <v>5</v>
      </c>
      <c r="N39" t="str">
        <v>Friday</v>
      </c>
      <c r="O39" t="str">
        <v>12:00 - 15:00</v>
      </c>
      <c r="P39" t="str">
        <v>Monday</v>
      </c>
      <c r="Q39" t="str">
        <v>12:00 - 15:00</v>
      </c>
      <c r="R39">
        <v>0</v>
      </c>
      <c r="S39" t="str">
        <v>IST-49187</v>
      </c>
      <c r="T39">
        <v>750</v>
      </c>
      <c r="U39" t="str">
        <v>Mollie</v>
      </c>
      <c r="V39" t="str">
        <v>2024-11-30 20:03:58</v>
      </c>
      <c r="W39">
        <v>1732997038</v>
      </c>
      <c r="X39">
        <v>0</v>
      </c>
      <c r="Y39">
        <v>0</v>
      </c>
      <c r="Z39">
        <v>3</v>
      </c>
    </row>
    <row r="40" spans="1:26" x14ac:dyDescent="0.25">
      <c r="A40">
        <v>15</v>
      </c>
      <c r="B40" t="str">
        <v>Luuk</v>
      </c>
      <c r="C40" t="str">
        <v>Philipsen</v>
      </c>
      <c r="D40" t="str">
        <v>luukphilipsen8@gmail.com</v>
      </c>
      <c r="E40" t="str">
        <v>+31631525507</v>
      </c>
      <c r="F40">
        <v>0</v>
      </c>
      <c r="G40" t="str">
        <v>The Netherlands</v>
      </c>
      <c r="H40" t="str">
        <v>Scouting Nederland</v>
      </c>
      <c r="I40" t="str">
        <v>Scoutinggroep de Meuleberg</v>
      </c>
      <c r="J40">
        <v>1476</v>
      </c>
      <c r="K40" t="str">
        <v>Blitterswijck</v>
      </c>
      <c r="L40">
        <v>17</v>
      </c>
      <c r="M40">
        <v>4</v>
      </c>
      <c r="N40" t="str">
        <v>Friday</v>
      </c>
      <c r="O40" t="str">
        <v>12:00 - 15:00</v>
      </c>
      <c r="P40" t="str">
        <v>Monday</v>
      </c>
      <c r="Q40" t="str">
        <v>12:00 - 15:00</v>
      </c>
      <c r="R40">
        <v>0</v>
      </c>
      <c r="S40" t="str">
        <v>IST-17335</v>
      </c>
      <c r="T40">
        <v>525</v>
      </c>
      <c r="U40" t="str">
        <v>Mollie</v>
      </c>
      <c r="V40" t="str">
        <v>2024-11-30 20:06:25</v>
      </c>
      <c r="W40">
        <v>1732997185</v>
      </c>
      <c r="X40">
        <v>0</v>
      </c>
      <c r="Y40">
        <v>0</v>
      </c>
      <c r="Z40">
        <v>3</v>
      </c>
    </row>
    <row r="41" spans="1:26" x14ac:dyDescent="0.25">
      <c r="A41">
        <v>55</v>
      </c>
      <c r="B41" t="str">
        <v>Caspar</v>
      </c>
      <c r="C41" t="str">
        <v>Doornmalen</v>
      </c>
      <c r="D41" t="str">
        <v>casparvandoornmalen@gmail.com</v>
      </c>
      <c r="E41" t="str">
        <v>+31625431249</v>
      </c>
      <c r="F41">
        <v>0</v>
      </c>
      <c r="G41" t="str">
        <v>The Netherlands</v>
      </c>
      <c r="H41" t="str">
        <v>Scouting Nederland</v>
      </c>
      <c r="I41" t="str">
        <v>Scouting St. Martinus</v>
      </c>
      <c r="J41">
        <v>1606</v>
      </c>
      <c r="K41" t="str">
        <v>Zaltbommel</v>
      </c>
      <c r="L41">
        <v>10</v>
      </c>
      <c r="M41">
        <v>2</v>
      </c>
      <c r="N41" t="str">
        <v>Friday</v>
      </c>
      <c r="O41" t="str">
        <v>12:00 - 15:00</v>
      </c>
      <c r="P41" t="str">
        <v>Monday</v>
      </c>
      <c r="Q41" t="str">
        <v>12:00 - 15:00</v>
      </c>
      <c r="R41">
        <v>0</v>
      </c>
      <c r="S41" t="str">
        <v>IST-18992</v>
      </c>
      <c r="T41">
        <v>300</v>
      </c>
      <c r="U41" t="str">
        <v>Mollie</v>
      </c>
      <c r="V41" t="str">
        <v>2024-12-20 13:06:03</v>
      </c>
      <c r="W41">
        <v>1734699963</v>
      </c>
      <c r="X41">
        <v>0</v>
      </c>
      <c r="Y41">
        <v>0</v>
      </c>
      <c r="Z41">
        <v>3</v>
      </c>
    </row>
    <row r="42" spans="1:26" x14ac:dyDescent="0.25">
      <c r="A42">
        <v>52</v>
      </c>
      <c r="B42" t="str">
        <v>Randolph</v>
      </c>
      <c r="C42" t="str">
        <v>Caldwell</v>
      </c>
      <c r="D42" t="str">
        <v>scoutmastert21munich@gmail.com</v>
      </c>
      <c r="E42" t="str">
        <v>+491738714703</v>
      </c>
      <c r="F42">
        <v>0</v>
      </c>
      <c r="G42" t="str">
        <v>United States</v>
      </c>
      <c r="H42" t="str">
        <v>Boy Scouts of America - Transatlantic Council</v>
      </c>
      <c r="I42" t="str">
        <v>Troop 21</v>
      </c>
      <c r="J42" t="str">
        <v>0021B</v>
      </c>
      <c r="K42" t="str">
        <v>Munich</v>
      </c>
      <c r="L42">
        <v>12</v>
      </c>
      <c r="M42">
        <v>3</v>
      </c>
      <c r="N42" t="str">
        <v>Friday</v>
      </c>
      <c r="O42" t="str">
        <v>12:00 - 15:00</v>
      </c>
      <c r="P42" t="str">
        <v>Monday</v>
      </c>
      <c r="Q42" t="str">
        <v>09:00 - 12:00</v>
      </c>
      <c r="R42">
        <v>0</v>
      </c>
      <c r="S42" t="str">
        <v>IST-47786</v>
      </c>
      <c r="T42">
        <v>375</v>
      </c>
      <c r="U42" t="str">
        <v>Mollie</v>
      </c>
      <c r="V42" t="str">
        <v>2024-12-13 14:58:14</v>
      </c>
      <c r="W42">
        <v>1734101894</v>
      </c>
      <c r="X42">
        <v>0</v>
      </c>
      <c r="Y42">
        <v>0</v>
      </c>
      <c r="Z42">
        <v>3</v>
      </c>
    </row>
    <row r="43" spans="1:26" x14ac:dyDescent="0.25">
      <c r="A43">
        <v>56</v>
      </c>
      <c r="B43" t="str">
        <v>Daniel</v>
      </c>
      <c r="C43" t="str">
        <v>Cole</v>
      </c>
      <c r="D43" t="str">
        <v>daniel.cole32@live.com</v>
      </c>
      <c r="E43" t="str">
        <v>+12292510986</v>
      </c>
      <c r="F43">
        <v>0</v>
      </c>
      <c r="G43" t="str">
        <v>United States</v>
      </c>
      <c r="H43" t="str">
        <v>Boy Scouts of America - Transatlantic Council</v>
      </c>
      <c r="I43" t="str">
        <v>Troop 12</v>
      </c>
      <c r="J43">
        <v>12</v>
      </c>
      <c r="K43" t="str">
        <v>APO</v>
      </c>
      <c r="L43">
        <v>35</v>
      </c>
      <c r="M43">
        <v>7</v>
      </c>
      <c r="N43" t="str">
        <v>Friday</v>
      </c>
      <c r="O43" t="str">
        <v>09:00 - 12:00</v>
      </c>
      <c r="P43" t="str">
        <v>Monday</v>
      </c>
      <c r="Q43" t="str">
        <v>12:00 - 15:00</v>
      </c>
      <c r="R43">
        <v>0</v>
      </c>
      <c r="S43" t="str">
        <v>IST-13607</v>
      </c>
      <c r="T43">
        <v>1050</v>
      </c>
      <c r="U43" t="str">
        <v>Mollie</v>
      </c>
      <c r="V43" t="str">
        <v>2025-01-01 07:39:49</v>
      </c>
      <c r="W43">
        <v>1735717189</v>
      </c>
      <c r="X43">
        <v>0</v>
      </c>
      <c r="Y43">
        <v>0</v>
      </c>
      <c r="Z43">
        <v>3</v>
      </c>
    </row>
    <row r="44" spans="1:26" x14ac:dyDescent="0.25">
      <c r="A44">
        <v>79</v>
      </c>
      <c r="B44" t="str">
        <v>Leah</v>
      </c>
      <c r="C44" t="str">
        <v>Gililland</v>
      </c>
      <c r="D44" t="str">
        <v>leahm2scott@gmail.com</v>
      </c>
      <c r="E44" t="str">
        <v>+49</v>
      </c>
      <c r="F44">
        <v>0</v>
      </c>
      <c r="G44" t="str">
        <v>United States</v>
      </c>
      <c r="H44" t="str">
        <v>Boy Scouts of America - Transatlantic Council</v>
      </c>
      <c r="I44" t="str">
        <v>Troop 164 Sembach</v>
      </c>
      <c r="J44">
        <v>164</v>
      </c>
      <c r="K44" t="str">
        <v>Sembach</v>
      </c>
      <c r="L44">
        <v>6</v>
      </c>
      <c r="M44">
        <v>2</v>
      </c>
      <c r="N44" t="str">
        <v>Friday</v>
      </c>
      <c r="O44" t="str">
        <v>15:00 - 18:00</v>
      </c>
      <c r="P44" t="str">
        <v>Sunday</v>
      </c>
      <c r="Q44" t="str">
        <v>09:00 - 12:00</v>
      </c>
      <c r="R44">
        <v>0</v>
      </c>
      <c r="S44" t="str">
        <v>IST-89120</v>
      </c>
      <c r="T44">
        <v>200</v>
      </c>
      <c r="U44" t="str">
        <v>Mollie</v>
      </c>
      <c r="V44" t="str">
        <v>2025-02-01 14:15:40</v>
      </c>
      <c r="W44">
        <v>1738419340</v>
      </c>
      <c r="X44">
        <v>0</v>
      </c>
      <c r="Y44">
        <v>0</v>
      </c>
      <c r="Z44">
        <v>3</v>
      </c>
    </row>
    <row r="45" spans="1:26" x14ac:dyDescent="0.25">
      <c r="A45">
        <v>102</v>
      </c>
      <c r="B45" t="str">
        <v>Aaron</v>
      </c>
      <c r="C45" t="str">
        <v>Hobbins</v>
      </c>
      <c r="D45" t="str">
        <v>aaron.hobbins@gmail.com</v>
      </c>
      <c r="E45" t="str">
        <v>+4915254780318</v>
      </c>
      <c r="F45" t="str">
        <v>Mailing address: An den Hopfengaerten 1, 67722 Winnweiler</v>
      </c>
      <c r="G45" t="str">
        <v>United States</v>
      </c>
      <c r="H45" t="str">
        <v>Boy Scouts of America - Transatlantic Council</v>
      </c>
      <c r="I45" t="str">
        <v>Troop 69 Vogelweh</v>
      </c>
      <c r="J45" t="str">
        <v>T69B</v>
      </c>
      <c r="K45" t="str">
        <v>Kaiserslautern</v>
      </c>
      <c r="L45">
        <v>6</v>
      </c>
      <c r="M45">
        <v>2</v>
      </c>
      <c r="N45" t="str">
        <v>Friday</v>
      </c>
      <c r="O45" t="str">
        <v>18:00 - 21:00</v>
      </c>
      <c r="P45" t="str">
        <v>Sunday</v>
      </c>
      <c r="Q45" t="str">
        <v>12:00 - 15:00</v>
      </c>
      <c r="R45">
        <v>0</v>
      </c>
      <c r="S45" t="str">
        <v>IST-70602</v>
      </c>
      <c r="T45">
        <v>200</v>
      </c>
      <c r="U45" t="str">
        <v>Mollie</v>
      </c>
      <c r="V45" t="str">
        <v>2025-02-09 19:05:08</v>
      </c>
      <c r="W45">
        <v>1739127908</v>
      </c>
      <c r="X45">
        <v>0</v>
      </c>
      <c r="Y45" t="str">
        <v>Additional request</v>
      </c>
      <c r="Z45">
        <v>3</v>
      </c>
    </row>
    <row r="46" spans="1:26" x14ac:dyDescent="0.25">
      <c r="A46">
        <v>128</v>
      </c>
      <c r="B46" t="str">
        <v>Robert</v>
      </c>
      <c r="C46" t="str">
        <v>Munson</v>
      </c>
      <c r="D46" t="str">
        <v>nebr_bob@hotmail.com</v>
      </c>
      <c r="E46" t="str">
        <v>+4915234636794</v>
      </c>
      <c r="F46" t="str">
        <v>contact me for payment</v>
      </c>
      <c r="G46" t="str">
        <v>United States</v>
      </c>
      <c r="H46" t="str">
        <v>Boy Scouts of America - Transatlantic Council</v>
      </c>
      <c r="I46" t="str">
        <v>Troop</v>
      </c>
      <c r="J46">
        <v>56</v>
      </c>
      <c r="K46" t="str">
        <v>Bonn</v>
      </c>
      <c r="L46">
        <v>9</v>
      </c>
      <c r="M46">
        <v>3</v>
      </c>
      <c r="N46" t="str">
        <v>Friday</v>
      </c>
      <c r="O46" t="str">
        <v>18:00 - 21:00</v>
      </c>
      <c r="P46" t="str">
        <v>Monday</v>
      </c>
      <c r="Q46" t="str">
        <v>09:00 - 12:00</v>
      </c>
      <c r="R46" t="str">
        <v>We need the leaders to drive</v>
      </c>
      <c r="S46" t="str">
        <v>IST-12948</v>
      </c>
      <c r="T46">
        <v>300</v>
      </c>
      <c r="U46" t="str">
        <v>Mollie</v>
      </c>
      <c r="V46" t="str">
        <v>2025-03-09 15:56:31</v>
      </c>
      <c r="W46">
        <v>1741535792</v>
      </c>
      <c r="X46">
        <v>0</v>
      </c>
      <c r="Y46">
        <v>0</v>
      </c>
      <c r="Z46">
        <v>3</v>
      </c>
    </row>
    <row r="47" spans="1:26" x14ac:dyDescent="0.25">
      <c r="A47">
        <v>129</v>
      </c>
      <c r="B47" t="str">
        <v>Kristin</v>
      </c>
      <c r="C47" t="str">
        <v>Heist</v>
      </c>
      <c r="D47" t="str">
        <v>kristin310@hotmail.com</v>
      </c>
      <c r="E47" t="str">
        <v>+32491994561</v>
      </c>
      <c r="F47">
        <v>0</v>
      </c>
      <c r="G47" t="str">
        <v>United States</v>
      </c>
      <c r="H47" t="str">
        <v>Boy Scouts of America - Transatlantic Council</v>
      </c>
      <c r="I47" t="str">
        <v>Scouting America Troop 325G</v>
      </c>
      <c r="J47" t="str">
        <v>325G</v>
      </c>
      <c r="K47" t="str">
        <v>SHAPE</v>
      </c>
      <c r="L47">
        <v>12</v>
      </c>
      <c r="M47">
        <v>4</v>
      </c>
      <c r="N47" t="str">
        <v>Friday</v>
      </c>
      <c r="O47" t="str">
        <v>21:00 - 00:00</v>
      </c>
      <c r="P47" t="str">
        <v>Monday</v>
      </c>
      <c r="Q47" t="str">
        <v>09:00 - 12:00</v>
      </c>
      <c r="R47" t="str">
        <v>Traveling extra adults due to travel from other locations.</v>
      </c>
      <c r="S47" t="str">
        <v>IST-51638</v>
      </c>
      <c r="T47">
        <v>400</v>
      </c>
      <c r="U47" t="str">
        <v>Mollie</v>
      </c>
      <c r="V47" t="str">
        <v>2025-03-18 18:43:11</v>
      </c>
      <c r="W47">
        <v>1742323392</v>
      </c>
      <c r="X47">
        <v>0</v>
      </c>
      <c r="Y47">
        <v>0</v>
      </c>
      <c r="Z47">
        <v>3</v>
      </c>
    </row>
    <row r="48" spans="1:26" x14ac:dyDescent="0.25">
      <c r="A48">
        <v>131</v>
      </c>
      <c r="B48" t="str">
        <v>Chris</v>
      </c>
      <c r="C48" t="str">
        <v>Watts</v>
      </c>
      <c r="D48" t="str">
        <v>cbrannonwatts@gmail.com</v>
      </c>
      <c r="E48" t="str">
        <v>+18153120177</v>
      </c>
      <c r="F48" t="str">
        <v>SHAPE BSA Troop 325B (the Boys' Troop) - please use my Belgian phone number for any correspondence +32 470 65 90 01, or my email: cbrannonwatts@gmail.com.</v>
      </c>
      <c r="G48" t="str">
        <v>United States</v>
      </c>
      <c r="H48" t="str">
        <v>Boy Scouts of America - Transatlantic Council</v>
      </c>
      <c r="I48" t="str">
        <v>SHAPE Troop 325B</v>
      </c>
      <c r="J48" t="str">
        <v>325B</v>
      </c>
      <c r="K48" t="str">
        <v>SHAPE</v>
      </c>
      <c r="L48">
        <v>12</v>
      </c>
      <c r="M48">
        <v>4</v>
      </c>
      <c r="N48" t="str">
        <v>Friday</v>
      </c>
      <c r="O48" t="str">
        <v>21:00 - 00:00</v>
      </c>
      <c r="P48" t="str">
        <v>Monday</v>
      </c>
      <c r="Q48" t="str">
        <v>09:00 - 12:00</v>
      </c>
      <c r="R48" t="str">
        <v>If I have any cancellations or changes, who do I contact? I am not anticipating changes, but things do come up.</v>
      </c>
      <c r="S48" t="str">
        <v>IST-37418</v>
      </c>
      <c r="T48">
        <v>400</v>
      </c>
      <c r="U48" t="str">
        <v>Mollie</v>
      </c>
      <c r="V48" t="str">
        <v>2025-03-21 08:48:14</v>
      </c>
      <c r="W48">
        <v>1742546894</v>
      </c>
      <c r="X48">
        <v>0</v>
      </c>
      <c r="Y48">
        <v>0</v>
      </c>
      <c r="Z48">
        <v>3</v>
      </c>
    </row>
    <row r="59" spans="12:14" x14ac:dyDescent="0.25">
      <c r="L59">
        <f>SUM(L2:L50)</f>
        <v>699</v>
      </c>
      <c r="M59">
        <f>SUM(M2:M50)</f>
        <v>147</v>
      </c>
      <c r="N59">
        <f>L59+M59</f>
        <v>846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AD2C-CA5E-9244-B423-F32C3CB5CAED}">
  <dimension ref="A1:Z35"/>
  <sheetViews>
    <sheetView workbookViewId="0">
      <selection activeCell="M36" sqref="M36"/>
    </sheetView>
  </sheetViews>
  <sheetFormatPr defaultColWidth="11.42578125" defaultRowHeight="15" x14ac:dyDescent="0.25"/>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1166</v>
      </c>
      <c r="X1" s="1" t="s">
        <v>22</v>
      </c>
      <c r="Y1" s="1" t="s">
        <v>23</v>
      </c>
      <c r="Z1" s="1" t="s">
        <v>1167</v>
      </c>
    </row>
    <row r="2" spans="1:26" x14ac:dyDescent="0.25">
      <c r="A2" cm="1">
        <f t="array" ref="A2:Z27">_xlfn._xlws.FILTER('All Subcamps'!A2:Z139,'All Subcamps'!Z2:Z139=4)</f>
        <v>67</v>
      </c>
      <c r="B2" t="str">
        <v>Šimon</v>
      </c>
      <c r="C2" t="str">
        <v>Trousil</v>
      </c>
      <c r="D2" t="str">
        <v>simon.trousil@seznam.cz</v>
      </c>
      <c r="E2" t="str">
        <v>+420720103492</v>
      </c>
      <c r="F2">
        <v>0</v>
      </c>
      <c r="G2" t="str">
        <v>Czech Republic</v>
      </c>
      <c r="H2" t="str">
        <v>JUNAK - cesky skaut</v>
      </c>
      <c r="I2" t="str">
        <v>Orion Kladno</v>
      </c>
      <c r="J2">
        <v>213.01</v>
      </c>
      <c r="K2" t="str">
        <v>Kladno</v>
      </c>
      <c r="L2">
        <v>18</v>
      </c>
      <c r="M2">
        <v>3</v>
      </c>
      <c r="N2" t="str">
        <v>Friday</v>
      </c>
      <c r="O2" t="str">
        <v>15:00 - 18:00</v>
      </c>
      <c r="P2" t="str">
        <v>Monday</v>
      </c>
      <c r="Q2" t="str">
        <v>09:00 - 12:00</v>
      </c>
      <c r="R2" t="str">
        <v>We are traveling from the Czech Republic by bus together with another group of scouts and we are currently planning the bus, so we don't know the exact time of arrival.</v>
      </c>
      <c r="S2" t="str">
        <v>IST-92152</v>
      </c>
      <c r="T2">
        <v>525</v>
      </c>
      <c r="U2" t="str">
        <v>Mollie</v>
      </c>
      <c r="V2" t="str">
        <v>2025-01-24 10:58:50</v>
      </c>
      <c r="W2">
        <v>1737716330</v>
      </c>
      <c r="X2">
        <v>0</v>
      </c>
      <c r="Y2">
        <v>0</v>
      </c>
      <c r="Z2">
        <v>4</v>
      </c>
    </row>
    <row r="3" spans="1:26" x14ac:dyDescent="0.25">
      <c r="A3">
        <v>72</v>
      </c>
      <c r="B3" t="str">
        <v>Vanda</v>
      </c>
      <c r="C3" t="str">
        <v>Hegerová</v>
      </c>
      <c r="D3" t="str">
        <v>vanda.hegerova@seznam.cz</v>
      </c>
      <c r="E3" t="str">
        <v>+420</v>
      </c>
      <c r="F3">
        <v>0</v>
      </c>
      <c r="G3" t="str">
        <v>Czech Republic</v>
      </c>
      <c r="H3" t="str">
        <v>JUNAK - cesky skaut</v>
      </c>
      <c r="I3" t="str">
        <v>Blaník</v>
      </c>
      <c r="J3">
        <v>114.07</v>
      </c>
      <c r="K3" t="str">
        <v>Prague</v>
      </c>
      <c r="L3">
        <v>4</v>
      </c>
      <c r="M3">
        <v>1</v>
      </c>
      <c r="N3" t="str">
        <v>Friday</v>
      </c>
      <c r="O3" t="str">
        <v>15:00 - 18:00</v>
      </c>
      <c r="P3" t="str">
        <v>Monday</v>
      </c>
      <c r="Q3" t="str">
        <v>09:00 - 12:00</v>
      </c>
      <c r="R3" t="str">
        <v>Arrival time is not exactly we are still planing.</v>
      </c>
      <c r="S3" t="str">
        <v>IST-81258</v>
      </c>
      <c r="T3">
        <v>125</v>
      </c>
      <c r="U3" t="str">
        <v>Mollie</v>
      </c>
      <c r="V3" t="str">
        <v>2025-01-28 19:14:48</v>
      </c>
      <c r="W3">
        <v>1738091688</v>
      </c>
      <c r="X3">
        <v>0</v>
      </c>
      <c r="Y3">
        <v>0</v>
      </c>
      <c r="Z3">
        <v>4</v>
      </c>
    </row>
    <row r="4" spans="1:26" x14ac:dyDescent="0.25">
      <c r="A4">
        <v>76</v>
      </c>
      <c r="B4" t="str">
        <v>Vlastimil</v>
      </c>
      <c r="C4" t="str">
        <v>Buriánek</v>
      </c>
      <c r="D4" t="str">
        <v>vlastimil.burianek@skaut.cz</v>
      </c>
      <c r="E4" t="str">
        <v>+420725561858</v>
      </c>
      <c r="F4">
        <v>0</v>
      </c>
      <c r="G4" t="str">
        <v>Czech Republic</v>
      </c>
      <c r="H4" t="str">
        <v>JUNAK - cesky skaut</v>
      </c>
      <c r="I4" t="str">
        <v>Děti přírody</v>
      </c>
      <c r="J4">
        <v>713.02</v>
      </c>
      <c r="K4" t="str">
        <v>Prostějov</v>
      </c>
      <c r="L4">
        <v>9</v>
      </c>
      <c r="M4">
        <v>2</v>
      </c>
      <c r="N4" t="str">
        <v>Friday</v>
      </c>
      <c r="O4" t="str">
        <v>15:00 - 18:00</v>
      </c>
      <c r="P4" t="str">
        <v>Monday</v>
      </c>
      <c r="Q4" t="str">
        <v>12:00 - 15:00</v>
      </c>
      <c r="R4" t="str">
        <v>Departure/arrival times are (still) approximate.</v>
      </c>
      <c r="S4" t="str">
        <v>IST-20023</v>
      </c>
      <c r="T4">
        <v>275</v>
      </c>
      <c r="U4" t="str">
        <v>Mollie</v>
      </c>
      <c r="V4" t="str">
        <v>2025-01-31 20:17:50</v>
      </c>
      <c r="W4">
        <v>1738354670</v>
      </c>
      <c r="X4">
        <v>0</v>
      </c>
      <c r="Y4">
        <v>0</v>
      </c>
      <c r="Z4">
        <v>4</v>
      </c>
    </row>
    <row r="5" spans="1:26" x14ac:dyDescent="0.25">
      <c r="A5">
        <v>82</v>
      </c>
      <c r="B5" t="str">
        <v>Lucie</v>
      </c>
      <c r="C5" t="str">
        <v>Urbanová</v>
      </c>
      <c r="D5" t="str">
        <v>lucie.urbn@gmail.com</v>
      </c>
      <c r="E5" t="str">
        <v>+420728900846</v>
      </c>
      <c r="F5">
        <v>0</v>
      </c>
      <c r="G5" t="str">
        <v>Czech Republic</v>
      </c>
      <c r="H5" t="str">
        <v>JUNAK - cesky skaut</v>
      </c>
      <c r="I5" t="str">
        <v>Devítky</v>
      </c>
      <c r="J5">
        <v>533.02</v>
      </c>
      <c r="K5" t="str">
        <v>Litomyšl</v>
      </c>
      <c r="L5">
        <v>8</v>
      </c>
      <c r="M5">
        <v>1</v>
      </c>
      <c r="N5" t="str">
        <v>Friday</v>
      </c>
      <c r="O5" t="str">
        <v>12:00 - 15:00</v>
      </c>
      <c r="P5" t="str">
        <v>Monday</v>
      </c>
      <c r="Q5" t="str">
        <v>12:00 - 15:00</v>
      </c>
      <c r="R5">
        <v>0</v>
      </c>
      <c r="S5" t="str">
        <v>IST-66761</v>
      </c>
      <c r="T5">
        <v>225</v>
      </c>
      <c r="U5" t="str">
        <v>Mollie</v>
      </c>
      <c r="V5" t="str">
        <v>2025-02-03 15:13:33</v>
      </c>
      <c r="W5">
        <v>1738595613</v>
      </c>
      <c r="X5">
        <v>0</v>
      </c>
      <c r="Y5">
        <v>0</v>
      </c>
      <c r="Z5">
        <v>4</v>
      </c>
    </row>
    <row r="6" spans="1:26" x14ac:dyDescent="0.25">
      <c r="A6">
        <v>85</v>
      </c>
      <c r="B6" t="str">
        <v>Jiří</v>
      </c>
      <c r="C6" t="str">
        <v>Nevřivý</v>
      </c>
      <c r="D6" t="str">
        <v>nevrivy.skaut@gmail.com</v>
      </c>
      <c r="E6" t="str">
        <v>+420736678622</v>
      </c>
      <c r="F6">
        <v>0</v>
      </c>
      <c r="G6" t="str">
        <v>Czech Republic</v>
      </c>
      <c r="H6" t="str">
        <v>JUNAK - cesky skaut</v>
      </c>
      <c r="I6" t="str">
        <v>Artemis/Ontario</v>
      </c>
      <c r="J6">
        <v>724.06</v>
      </c>
      <c r="K6" t="str">
        <v>Zlín-Malenovice</v>
      </c>
      <c r="L6">
        <v>20</v>
      </c>
      <c r="M6">
        <v>4</v>
      </c>
      <c r="N6" t="str">
        <v>Friday</v>
      </c>
      <c r="O6" t="str">
        <v>15:00 - 18:00</v>
      </c>
      <c r="P6" t="str">
        <v>Monday</v>
      </c>
      <c r="Q6" t="str">
        <v>09:00 - 12:00</v>
      </c>
      <c r="R6">
        <v>0</v>
      </c>
      <c r="S6" t="str">
        <v>IST-97908</v>
      </c>
      <c r="T6">
        <v>600</v>
      </c>
      <c r="U6" t="str">
        <v>Mollie</v>
      </c>
      <c r="V6" t="str">
        <v>2025-02-04 22:26:15</v>
      </c>
      <c r="W6">
        <v>1738707976</v>
      </c>
      <c r="X6">
        <v>0</v>
      </c>
      <c r="Y6">
        <v>0</v>
      </c>
      <c r="Z6">
        <v>4</v>
      </c>
    </row>
    <row r="7" spans="1:26" x14ac:dyDescent="0.25">
      <c r="A7">
        <v>101</v>
      </c>
      <c r="B7" t="str">
        <v>Martin</v>
      </c>
      <c r="C7" t="str">
        <v>Matyáš</v>
      </c>
      <c r="D7" t="str">
        <v>matyasmartin0@gmail.com</v>
      </c>
      <c r="E7" t="str">
        <v>+420608642615</v>
      </c>
      <c r="F7">
        <v>0</v>
      </c>
      <c r="G7" t="str">
        <v>Czech Republic</v>
      </c>
      <c r="H7" t="str">
        <v>JUNAK - cesky skaut</v>
      </c>
      <c r="I7" t="str">
        <v>Tumulus Újezd u Brna aneb děcka, pecka, pojedeme do Německa</v>
      </c>
      <c r="J7">
        <v>623.14</v>
      </c>
      <c r="K7" t="str">
        <v>Újezd u Brna</v>
      </c>
      <c r="L7">
        <v>5</v>
      </c>
      <c r="M7">
        <v>1</v>
      </c>
      <c r="N7" t="str">
        <v>Friday</v>
      </c>
      <c r="O7" t="str">
        <v>15:00 - 18:00</v>
      </c>
      <c r="P7" t="str">
        <v>Monday</v>
      </c>
      <c r="Q7" t="str">
        <v>12:00 - 15:00</v>
      </c>
      <c r="R7">
        <v>0</v>
      </c>
      <c r="S7" t="str">
        <v>IST-30049</v>
      </c>
      <c r="T7">
        <v>150</v>
      </c>
      <c r="U7" t="str">
        <v>Mollie</v>
      </c>
      <c r="V7" t="str">
        <v>2025-02-09 18:29:12</v>
      </c>
      <c r="W7">
        <v>1739125752</v>
      </c>
      <c r="X7">
        <v>0</v>
      </c>
      <c r="Y7">
        <v>0</v>
      </c>
      <c r="Z7">
        <v>4</v>
      </c>
    </row>
    <row r="8" spans="1:26" x14ac:dyDescent="0.25">
      <c r="A8">
        <v>127</v>
      </c>
      <c r="B8" t="str">
        <v>Marie Anna</v>
      </c>
      <c r="C8" t="str">
        <v>Chlachulová</v>
      </c>
      <c r="D8" t="str">
        <v>mchlachulov.a@seznam.cz</v>
      </c>
      <c r="E8" t="str">
        <v>+420773883110</v>
      </c>
      <c r="F8">
        <v>0</v>
      </c>
      <c r="G8" t="str">
        <v>Czech Republic</v>
      </c>
      <c r="H8" t="str">
        <v>JUNAK - cesky skaut</v>
      </c>
      <c r="I8" t="str">
        <v>Mustangové</v>
      </c>
      <c r="J8">
        <v>722.01</v>
      </c>
      <c r="K8" t="str">
        <v>Uherské Hradiště</v>
      </c>
      <c r="L8">
        <v>8</v>
      </c>
      <c r="M8">
        <v>2</v>
      </c>
      <c r="N8" t="str">
        <v>Friday</v>
      </c>
      <c r="O8" t="str">
        <v>15:00 - 18:00</v>
      </c>
      <c r="P8" t="str">
        <v>Monday</v>
      </c>
      <c r="Q8" t="str">
        <v>09:00 - 12:00</v>
      </c>
      <c r="R8" t="str">
        <v>We have 2 leaders And 8 children, since we have both just turned 18 And we have no previous experience travelling with kids alone, we think it will be more responsible and safer to travel abroad with the kids with 2 leaders .</v>
      </c>
      <c r="S8" t="str">
        <v>IST-81116</v>
      </c>
      <c r="T8">
        <v>250</v>
      </c>
      <c r="U8" t="str">
        <v>Mollie</v>
      </c>
      <c r="V8" t="str">
        <v>2025-03-04 16:42:05</v>
      </c>
      <c r="W8">
        <v>1741106525</v>
      </c>
      <c r="X8">
        <v>0</v>
      </c>
      <c r="Y8">
        <v>0</v>
      </c>
      <c r="Z8">
        <v>4</v>
      </c>
    </row>
    <row r="9" spans="1:26" x14ac:dyDescent="0.25">
      <c r="A9">
        <v>19</v>
      </c>
      <c r="B9" t="str">
        <v>Caroline</v>
      </c>
      <c r="C9" t="str">
        <v>Pintsch</v>
      </c>
      <c r="D9" t="str">
        <v>caroline@pintsch.de</v>
      </c>
      <c r="E9" t="str">
        <v>+4915786783461</v>
      </c>
      <c r="F9">
        <v>0</v>
      </c>
      <c r="G9" t="str">
        <v>Germany</v>
      </c>
      <c r="H9" t="str">
        <v>Deutsche Pfadfinderschaft Sankt Georg</v>
      </c>
      <c r="I9" t="str">
        <v>DPSG Stamm Alzenau</v>
      </c>
      <c r="J9">
        <v>2020329</v>
      </c>
      <c r="K9" t="str">
        <v>Alzenau</v>
      </c>
      <c r="L9">
        <v>17</v>
      </c>
      <c r="M9">
        <v>4</v>
      </c>
      <c r="N9" t="str">
        <v>Friday</v>
      </c>
      <c r="O9" t="str">
        <v>15:00 - 18:00</v>
      </c>
      <c r="P9" t="str">
        <v>Monday</v>
      </c>
      <c r="Q9" t="str">
        <v>12:00 - 15:00</v>
      </c>
      <c r="R9">
        <v>0</v>
      </c>
      <c r="S9" t="str">
        <v>IST-23477</v>
      </c>
      <c r="T9">
        <v>525</v>
      </c>
      <c r="U9" t="str">
        <v>Mollie</v>
      </c>
      <c r="V9" t="str">
        <v>2024-11-30 23:13:25</v>
      </c>
      <c r="W9">
        <v>1733008405</v>
      </c>
      <c r="X9">
        <v>0</v>
      </c>
      <c r="Y9">
        <v>0</v>
      </c>
      <c r="Z9">
        <v>4</v>
      </c>
    </row>
    <row r="10" spans="1:26" x14ac:dyDescent="0.25">
      <c r="A10">
        <v>40</v>
      </c>
      <c r="B10" t="str">
        <v>Anna-Maria</v>
      </c>
      <c r="C10" t="str">
        <v>Aggelakos</v>
      </c>
      <c r="D10" t="str">
        <v>anna.aggelakos@hotmail.de</v>
      </c>
      <c r="E10" t="str">
        <v>+491722940241</v>
      </c>
      <c r="F10" t="str">
        <v>Empfänger: Freundes- u. Förderverein des Stammes Sr. Felicitas HD-Zgh e.V. IBAN: DE28 6709 2300 0033 1350 92 BIC: GENODE61WNM Bank: Volksbank Kurpfalz eG</v>
      </c>
      <c r="G10" t="str">
        <v>Germany</v>
      </c>
      <c r="H10" t="str">
        <v>Deutsche Pfadfinderschaft Sankt Georg</v>
      </c>
      <c r="I10" t="str">
        <v>Stamm Schwester Felicitas Ziegelhausen</v>
      </c>
      <c r="J10" t="str">
        <v>DPSG Schwester Felicitas Ziegelhausen</v>
      </c>
      <c r="K10" t="str">
        <v>Heidelberg</v>
      </c>
      <c r="L10">
        <v>12</v>
      </c>
      <c r="M10">
        <v>3</v>
      </c>
      <c r="N10" t="str">
        <v>Friday</v>
      </c>
      <c r="O10" t="str">
        <v>15:00 - 18:00</v>
      </c>
      <c r="P10" t="str">
        <v>Monday</v>
      </c>
      <c r="Q10" t="str">
        <v>12:00 - 15:00</v>
      </c>
      <c r="R10">
        <v>0</v>
      </c>
      <c r="S10" t="str">
        <v>IST-12782</v>
      </c>
      <c r="T10">
        <v>375</v>
      </c>
      <c r="U10" t="str">
        <v>Mollie</v>
      </c>
      <c r="V10" t="str">
        <v>2024-12-02 22:20:06</v>
      </c>
      <c r="W10">
        <v>1733178006</v>
      </c>
      <c r="X10">
        <v>0</v>
      </c>
      <c r="Y10">
        <v>0</v>
      </c>
      <c r="Z10">
        <v>4</v>
      </c>
    </row>
    <row r="11" spans="1:26" x14ac:dyDescent="0.25">
      <c r="A11">
        <v>41</v>
      </c>
      <c r="B11" t="str">
        <v>Wolfgang</v>
      </c>
      <c r="C11" t="str">
        <v>Otto</v>
      </c>
      <c r="D11" t="str">
        <v>scouterwolfgang@aol.com</v>
      </c>
      <c r="E11" t="str">
        <v>+4915753131324</v>
      </c>
      <c r="F11">
        <v>0</v>
      </c>
      <c r="G11" t="str">
        <v>Germany</v>
      </c>
      <c r="H11" t="str">
        <v>Deutsche Pfadfinderschaft Sankt Georg</v>
      </c>
      <c r="I11" t="str">
        <v>DPSG Moers St. Josef</v>
      </c>
      <c r="J11" t="str">
        <v>14/08/01</v>
      </c>
      <c r="K11" t="str">
        <v>Moers</v>
      </c>
      <c r="L11">
        <v>5</v>
      </c>
      <c r="M11">
        <v>1</v>
      </c>
      <c r="N11" t="str">
        <v>Friday</v>
      </c>
      <c r="O11" t="str">
        <v>18:00 - 21:00</v>
      </c>
      <c r="P11" t="str">
        <v>Monday</v>
      </c>
      <c r="Q11" t="str">
        <v>09:00 - 12:00</v>
      </c>
      <c r="R11">
        <v>0</v>
      </c>
      <c r="S11" t="str">
        <v>IST-80873</v>
      </c>
      <c r="T11">
        <v>150</v>
      </c>
      <c r="U11" t="str">
        <v>Mollie</v>
      </c>
      <c r="V11" t="str">
        <v>2024-12-03 22:28:03</v>
      </c>
      <c r="W11">
        <v>1733264883</v>
      </c>
      <c r="X11">
        <v>0</v>
      </c>
      <c r="Y11">
        <v>0</v>
      </c>
      <c r="Z11">
        <v>4</v>
      </c>
    </row>
    <row r="12" spans="1:26" x14ac:dyDescent="0.25">
      <c r="A12">
        <v>45</v>
      </c>
      <c r="B12" t="str">
        <v>Robert</v>
      </c>
      <c r="C12" t="str">
        <v>Birkmann</v>
      </c>
      <c r="D12" t="str">
        <v>robert.birkmann@ostgoten.de</v>
      </c>
      <c r="E12" t="str">
        <v>+4915151277360</v>
      </c>
      <c r="F12">
        <v>0</v>
      </c>
      <c r="G12" t="str">
        <v>Germany</v>
      </c>
      <c r="H12" t="str">
        <v>Deutsche Pfadfinderschaft Sankt Georg</v>
      </c>
      <c r="I12" t="str">
        <v>Stamm Ostgoten/Rheinbezirk</v>
      </c>
      <c r="J12" t="str">
        <v>010107</v>
      </c>
      <c r="K12" t="str">
        <v>Krefeld</v>
      </c>
      <c r="L12">
        <v>21</v>
      </c>
      <c r="M12">
        <v>5</v>
      </c>
      <c r="N12" t="str">
        <v>Friday</v>
      </c>
      <c r="O12" t="str">
        <v>09:00 - 12:00</v>
      </c>
      <c r="P12" t="str">
        <v>Monday</v>
      </c>
      <c r="Q12" t="str">
        <v>09:00 - 12:00</v>
      </c>
      <c r="R12">
        <v>0</v>
      </c>
      <c r="S12" t="str">
        <v>IST-12385</v>
      </c>
      <c r="T12">
        <v>650</v>
      </c>
      <c r="U12" t="str">
        <v>Mollie</v>
      </c>
      <c r="V12" t="str">
        <v>2024-12-07 20:10:04</v>
      </c>
      <c r="W12">
        <v>1733602204</v>
      </c>
      <c r="X12">
        <v>0</v>
      </c>
      <c r="Y12">
        <v>0</v>
      </c>
      <c r="Z12">
        <v>4</v>
      </c>
    </row>
    <row r="13" spans="1:26" x14ac:dyDescent="0.25">
      <c r="A13">
        <v>47</v>
      </c>
      <c r="B13" t="str">
        <v>Wolfgang</v>
      </c>
      <c r="C13" t="str">
        <v>Otto</v>
      </c>
      <c r="D13" t="str">
        <v>scouterwolfgang@aol.com</v>
      </c>
      <c r="E13" t="str">
        <v>+4915753131324</v>
      </c>
      <c r="F13">
        <v>0</v>
      </c>
      <c r="G13" t="str">
        <v>Germany</v>
      </c>
      <c r="H13" t="str">
        <v>Deutsche Pfadfinderschaft Sankt Georg</v>
      </c>
      <c r="I13" t="str">
        <v>DPSG Moers St. Josef</v>
      </c>
      <c r="J13" t="str">
        <v>14/08/01</v>
      </c>
      <c r="K13" t="str">
        <v>Moers</v>
      </c>
      <c r="L13">
        <v>1</v>
      </c>
      <c r="M13">
        <v>1</v>
      </c>
      <c r="N13" t="str">
        <v>Friday</v>
      </c>
      <c r="O13" t="str">
        <v>15:00 - 18:00</v>
      </c>
      <c r="P13" t="str">
        <v>Monday</v>
      </c>
      <c r="Q13" t="str">
        <v>09:00 - 12:00</v>
      </c>
      <c r="R13">
        <v>0</v>
      </c>
      <c r="S13" t="str">
        <v>IST-61800</v>
      </c>
      <c r="T13">
        <v>50</v>
      </c>
      <c r="U13" t="str">
        <v>Mollie</v>
      </c>
      <c r="V13" t="str">
        <v>2024-12-07 20:57:29</v>
      </c>
      <c r="W13">
        <v>1733605049</v>
      </c>
      <c r="X13">
        <v>0</v>
      </c>
      <c r="Y13">
        <v>0</v>
      </c>
      <c r="Z13">
        <v>4</v>
      </c>
    </row>
    <row r="14" spans="1:26" x14ac:dyDescent="0.25">
      <c r="A14">
        <v>111</v>
      </c>
      <c r="B14" t="str">
        <v>Wolfgang</v>
      </c>
      <c r="C14" t="str">
        <v>Otto</v>
      </c>
      <c r="D14" t="str">
        <v>scouterwolfgang@aol.com</v>
      </c>
      <c r="E14" t="str">
        <v>+4915753131324</v>
      </c>
      <c r="F14">
        <v>0</v>
      </c>
      <c r="G14" t="str">
        <v>Germany</v>
      </c>
      <c r="H14" t="str">
        <v>Deutsche Pfadfinderschaft Sankt Georg</v>
      </c>
      <c r="I14" t="str">
        <v>DPSG Moers St. Josef</v>
      </c>
      <c r="J14" t="str">
        <v>14/08/01</v>
      </c>
      <c r="K14" t="str">
        <v>Moers</v>
      </c>
      <c r="L14">
        <v>17</v>
      </c>
      <c r="M14">
        <v>3</v>
      </c>
      <c r="N14" t="str">
        <v>Friday</v>
      </c>
      <c r="O14" t="str">
        <v>18:00 - 21:00</v>
      </c>
      <c r="P14" t="str">
        <v>Monday</v>
      </c>
      <c r="Q14" t="str">
        <v>09:00 - 12:00</v>
      </c>
      <c r="R14" t="str">
        <v>Our Trailer is part of our kitchen. So it has to sty on our campsite!</v>
      </c>
      <c r="S14" t="str">
        <v>IST-21261</v>
      </c>
      <c r="T14">
        <v>500</v>
      </c>
      <c r="U14" t="str">
        <v>Mollie</v>
      </c>
      <c r="V14" t="str">
        <v>2025-02-17 01:00:14</v>
      </c>
      <c r="W14">
        <v>1739754014</v>
      </c>
      <c r="X14">
        <v>0</v>
      </c>
      <c r="Y14">
        <v>0</v>
      </c>
      <c r="Z14">
        <v>4</v>
      </c>
    </row>
    <row r="15" spans="1:26" x14ac:dyDescent="0.25">
      <c r="A15">
        <v>86</v>
      </c>
      <c r="B15" t="str">
        <v>Karolina</v>
      </c>
      <c r="C15" t="str">
        <v>Pazdro</v>
      </c>
      <c r="D15" t="str">
        <v>karolina.pazdro@zhp.net.pl</v>
      </c>
      <c r="E15" t="str">
        <v>+48609724261</v>
      </c>
      <c r="F15">
        <v>0</v>
      </c>
      <c r="G15" t="str">
        <v>Poland</v>
      </c>
      <c r="H15" t="str">
        <v>Zwiazek Harcerstwa Polskiego</v>
      </c>
      <c r="I15" t="str">
        <v>Brzęczące Chrabąszcze</v>
      </c>
      <c r="J15">
        <v>16</v>
      </c>
      <c r="K15" t="str">
        <v>Kraków</v>
      </c>
      <c r="L15">
        <v>5</v>
      </c>
      <c r="M15">
        <v>1</v>
      </c>
      <c r="N15" t="str">
        <v>Friday</v>
      </c>
      <c r="O15" t="str">
        <v>15:00 - 18:00</v>
      </c>
      <c r="P15" t="str">
        <v>Monday</v>
      </c>
      <c r="Q15" t="str">
        <v>09:00 - 12:00</v>
      </c>
      <c r="R15">
        <v>0</v>
      </c>
      <c r="S15" t="str">
        <v>IST-12955</v>
      </c>
      <c r="T15">
        <v>150</v>
      </c>
      <c r="U15" t="str">
        <v>Mollie</v>
      </c>
      <c r="V15" t="str">
        <v>2025-02-05 12:07:35</v>
      </c>
      <c r="W15">
        <v>1738757255</v>
      </c>
      <c r="X15">
        <v>0</v>
      </c>
      <c r="Y15">
        <v>0</v>
      </c>
      <c r="Z15">
        <v>4</v>
      </c>
    </row>
    <row r="16" spans="1:26" x14ac:dyDescent="0.25">
      <c r="A16">
        <v>87</v>
      </c>
      <c r="B16" t="str">
        <v>Magdalena</v>
      </c>
      <c r="C16" t="str">
        <v>Szymczak</v>
      </c>
      <c r="D16" t="str">
        <v>szymczak.magdalena@zhp.net.pl</v>
      </c>
      <c r="E16" t="str">
        <v>+48786087728</v>
      </c>
      <c r="F16">
        <v>0</v>
      </c>
      <c r="G16" t="str">
        <v>Poland</v>
      </c>
      <c r="H16" t="str">
        <v>Zwiazek Harcerstwa Polskiego</v>
      </c>
      <c r="I16" t="str">
        <v>Łosie z Górnej półki</v>
      </c>
      <c r="J16">
        <v>222</v>
      </c>
      <c r="K16" t="str">
        <v>Łódź</v>
      </c>
      <c r="L16">
        <v>13</v>
      </c>
      <c r="M16">
        <v>2</v>
      </c>
      <c r="N16" t="str">
        <v>Friday</v>
      </c>
      <c r="O16" t="str">
        <v>18:00 - 21:00</v>
      </c>
      <c r="P16" t="str">
        <v>Monday</v>
      </c>
      <c r="Q16" t="str">
        <v>09:00 - 12:00</v>
      </c>
      <c r="R16">
        <v>0</v>
      </c>
      <c r="S16" t="str">
        <v>IST-22412</v>
      </c>
      <c r="T16">
        <v>375</v>
      </c>
      <c r="U16" t="str">
        <v>Mollie</v>
      </c>
      <c r="V16" t="str">
        <v>2025-02-05 12:18:04</v>
      </c>
      <c r="W16">
        <v>1738757884</v>
      </c>
      <c r="X16">
        <v>0</v>
      </c>
      <c r="Y16">
        <v>0</v>
      </c>
      <c r="Z16">
        <v>4</v>
      </c>
    </row>
    <row r="17" spans="1:26" x14ac:dyDescent="0.25">
      <c r="A17">
        <v>88</v>
      </c>
      <c r="B17" t="str">
        <v>Natalia</v>
      </c>
      <c r="C17" t="str">
        <v>Gwizd</v>
      </c>
      <c r="D17" t="str">
        <v>natalia.gwizd@zhp.net.pl</v>
      </c>
      <c r="E17" t="str">
        <v>+48607781951</v>
      </c>
      <c r="F17">
        <v>0</v>
      </c>
      <c r="G17" t="str">
        <v>Poland</v>
      </c>
      <c r="H17" t="str">
        <v>Zwiazek Harcerstwa Polskiego</v>
      </c>
      <c r="I17" t="str">
        <v>Polish Eagles</v>
      </c>
      <c r="J17">
        <v>882</v>
      </c>
      <c r="K17" t="str">
        <v>Łódź</v>
      </c>
      <c r="L17">
        <v>15</v>
      </c>
      <c r="M17">
        <v>2</v>
      </c>
      <c r="N17" t="str">
        <v>Friday</v>
      </c>
      <c r="O17" t="str">
        <v>18:00 - 21:00</v>
      </c>
      <c r="P17" t="str">
        <v>Monday</v>
      </c>
      <c r="Q17" t="str">
        <v>09:00 - 12:00</v>
      </c>
      <c r="R17">
        <v>0</v>
      </c>
      <c r="S17" t="str">
        <v>IST-10548</v>
      </c>
      <c r="T17">
        <v>425</v>
      </c>
      <c r="U17" t="str">
        <v>Mollie</v>
      </c>
      <c r="V17" t="str">
        <v>2025-02-05 12:21:04</v>
      </c>
      <c r="W17">
        <v>1738758064</v>
      </c>
      <c r="X17">
        <v>0</v>
      </c>
      <c r="Y17">
        <v>0</v>
      </c>
      <c r="Z17">
        <v>4</v>
      </c>
    </row>
    <row r="18" spans="1:26" x14ac:dyDescent="0.25">
      <c r="A18">
        <v>89</v>
      </c>
      <c r="B18" t="str">
        <v>Natasza</v>
      </c>
      <c r="C18" t="str">
        <v>Pytlarczyk</v>
      </c>
      <c r="D18" t="str">
        <v>natasza.pytlarczyk@zhp.net.pl</v>
      </c>
      <c r="E18" t="str">
        <v>+48792891243</v>
      </c>
      <c r="F18">
        <v>0</v>
      </c>
      <c r="G18" t="str">
        <v>Poland</v>
      </c>
      <c r="H18" t="str">
        <v>Zwiazek Harcerstwa Polskiego</v>
      </c>
      <c r="I18" t="str">
        <v>bunt</v>
      </c>
      <c r="J18">
        <v>32</v>
      </c>
      <c r="K18" t="str">
        <v>Warszawa Praga-Południe</v>
      </c>
      <c r="L18">
        <v>8</v>
      </c>
      <c r="M18">
        <v>2</v>
      </c>
      <c r="N18" t="str">
        <v>Friday</v>
      </c>
      <c r="O18" t="str">
        <v>18:00 - 21:00</v>
      </c>
      <c r="P18" t="str">
        <v>Monday</v>
      </c>
      <c r="Q18" t="str">
        <v>09:00 - 12:00</v>
      </c>
      <c r="R18">
        <v>0</v>
      </c>
      <c r="S18" t="str">
        <v>IST-31219</v>
      </c>
      <c r="T18">
        <v>250</v>
      </c>
      <c r="U18" t="str">
        <v>Mollie</v>
      </c>
      <c r="V18" t="str">
        <v>2025-02-05 12:32:31</v>
      </c>
      <c r="W18">
        <v>1738758751</v>
      </c>
      <c r="X18">
        <v>0</v>
      </c>
      <c r="Y18">
        <v>0</v>
      </c>
      <c r="Z18">
        <v>4</v>
      </c>
    </row>
    <row r="19" spans="1:26" x14ac:dyDescent="0.25">
      <c r="A19">
        <v>134</v>
      </c>
      <c r="B19" t="str">
        <v xml:space="preserve">Pola </v>
      </c>
      <c r="C19" t="str">
        <v>Drygiel</v>
      </c>
      <c r="D19" t="str">
        <v>pola.drygiel@zhp.pl</v>
      </c>
      <c r="E19" t="str">
        <v>+48 602497212</v>
      </c>
      <c r="F19">
        <v>0</v>
      </c>
      <c r="G19" t="str">
        <v>Poland</v>
      </c>
      <c r="H19" t="str">
        <v>Zwiazek Harcerstwa Polskiego</v>
      </c>
      <c r="I19" t="str">
        <v>Kociaki górą</v>
      </c>
      <c r="J19">
        <v>211</v>
      </c>
      <c r="K19" t="str">
        <v>warszawa</v>
      </c>
      <c r="L19">
        <v>9</v>
      </c>
      <c r="M19">
        <v>2</v>
      </c>
      <c r="N19" t="str">
        <v>Friday</v>
      </c>
      <c r="O19" t="str">
        <v>15:00 - 18:00</v>
      </c>
      <c r="P19" t="str">
        <v>Monday</v>
      </c>
      <c r="Q19" t="str">
        <v>09:00 - 12:00</v>
      </c>
      <c r="R19">
        <v>0</v>
      </c>
      <c r="S19">
        <v>0</v>
      </c>
      <c r="T19">
        <v>0</v>
      </c>
      <c r="U19">
        <v>0</v>
      </c>
      <c r="V19">
        <v>0</v>
      </c>
      <c r="W19">
        <v>0</v>
      </c>
      <c r="X19" t="str">
        <v>275 euro to be paid</v>
      </c>
      <c r="Y19">
        <v>275</v>
      </c>
      <c r="Z19">
        <v>4</v>
      </c>
    </row>
    <row r="20" spans="1:26" x14ac:dyDescent="0.25">
      <c r="A20">
        <v>135</v>
      </c>
      <c r="B20" t="str">
        <v xml:space="preserve">Sabina </v>
      </c>
      <c r="C20" t="str">
        <v>Gurowiec </v>
      </c>
      <c r="D20" t="str">
        <v>sabina.gurowiec@zhp.net.pl</v>
      </c>
      <c r="E20" t="str">
        <v>+48 509632613</v>
      </c>
      <c r="F20">
        <v>0</v>
      </c>
      <c r="G20" t="str">
        <v>Poland</v>
      </c>
      <c r="H20" t="str">
        <v>Zwiazek Harcerstwa Polskiego</v>
      </c>
      <c r="I20" t="str">
        <v>16 Drużyna Harcerska Tarnowskie Góry </v>
      </c>
      <c r="J20">
        <v>16</v>
      </c>
      <c r="K20" t="str">
        <v>Tarnowskie Góry </v>
      </c>
      <c r="L20">
        <v>15</v>
      </c>
      <c r="M20">
        <v>2</v>
      </c>
      <c r="N20" t="str">
        <v>Friday</v>
      </c>
      <c r="O20" t="str">
        <v>15:00 - 18:00</v>
      </c>
      <c r="P20" t="str">
        <v>Monday</v>
      </c>
      <c r="Q20" t="str">
        <v>09:00 - 12:00</v>
      </c>
      <c r="R20">
        <v>0</v>
      </c>
      <c r="S20">
        <v>0</v>
      </c>
      <c r="T20">
        <v>0</v>
      </c>
      <c r="U20">
        <v>0</v>
      </c>
      <c r="V20">
        <v>0</v>
      </c>
      <c r="W20">
        <v>0</v>
      </c>
      <c r="X20" t="str">
        <v>425 euro to be paid</v>
      </c>
      <c r="Y20">
        <v>425</v>
      </c>
      <c r="Z20">
        <v>4</v>
      </c>
    </row>
    <row r="21" spans="1:26" x14ac:dyDescent="0.25">
      <c r="A21">
        <v>5</v>
      </c>
      <c r="B21" t="str">
        <v>Bob</v>
      </c>
      <c r="C21" t="str">
        <v>Lelieveld</v>
      </c>
      <c r="D21" t="str">
        <v>boblelieveld@gmail.com</v>
      </c>
      <c r="E21" t="str">
        <v>+31627145802</v>
      </c>
      <c r="F21">
        <v>0</v>
      </c>
      <c r="G21" t="str">
        <v>The Netherlands</v>
      </c>
      <c r="H21" t="str">
        <v>Scouting Nederland</v>
      </c>
      <c r="I21" t="str">
        <v>Scouting Uotha</v>
      </c>
      <c r="J21">
        <v>1737</v>
      </c>
      <c r="K21" t="str">
        <v>Uden</v>
      </c>
      <c r="L21">
        <v>32</v>
      </c>
      <c r="M21">
        <v>4</v>
      </c>
      <c r="N21" t="str">
        <v>Friday</v>
      </c>
      <c r="O21" t="str">
        <v>12:00 - 15:00</v>
      </c>
      <c r="P21" t="str">
        <v>Monday</v>
      </c>
      <c r="Q21" t="str">
        <v>12:00 - 15:00</v>
      </c>
      <c r="R21">
        <v>0</v>
      </c>
      <c r="S21" t="str">
        <v>IST-11233</v>
      </c>
      <c r="T21">
        <v>900</v>
      </c>
      <c r="U21" t="str">
        <v>Mollie</v>
      </c>
      <c r="V21" t="str">
        <v>2024-11-30 19:30:16</v>
      </c>
      <c r="W21">
        <v>1732995016</v>
      </c>
      <c r="X21">
        <v>0</v>
      </c>
      <c r="Y21">
        <v>0</v>
      </c>
      <c r="Z21">
        <v>4</v>
      </c>
    </row>
    <row r="22" spans="1:26" x14ac:dyDescent="0.25">
      <c r="A22">
        <v>6</v>
      </c>
      <c r="B22" t="str">
        <v>Juriaan</v>
      </c>
      <c r="C22" t="str">
        <v>Adams</v>
      </c>
      <c r="D22" t="str">
        <v>juriaan.adams@scoutingamby.nl</v>
      </c>
      <c r="E22" t="str">
        <v>+31621685513</v>
      </c>
      <c r="F22">
        <v>0</v>
      </c>
      <c r="G22" t="str">
        <v>The Netherlands</v>
      </c>
      <c r="H22" t="str">
        <v>Scouting Nederland</v>
      </c>
      <c r="I22" t="str">
        <v>Intercamp Nederland</v>
      </c>
      <c r="J22">
        <v>9133</v>
      </c>
      <c r="K22" t="str">
        <v>Sittard</v>
      </c>
      <c r="L22">
        <v>7</v>
      </c>
      <c r="M22">
        <v>4</v>
      </c>
      <c r="N22" t="str">
        <v>Friday</v>
      </c>
      <c r="O22" t="str">
        <v>12:00 - 15:00</v>
      </c>
      <c r="P22" t="str">
        <v>Monday</v>
      </c>
      <c r="Q22" t="str">
        <v>12:00 - 15:00</v>
      </c>
      <c r="R22" t="str">
        <v>Special need Group - part of Moppertjesmeute - no accessible Dixi needed ( Didi confirmed)</v>
      </c>
      <c r="S22" t="str">
        <v>IST-70768</v>
      </c>
      <c r="T22">
        <v>275</v>
      </c>
      <c r="U22" t="str">
        <v>Mollie</v>
      </c>
      <c r="V22" t="str">
        <v>2024-11-30 19:38:53</v>
      </c>
      <c r="W22">
        <v>1732995533</v>
      </c>
      <c r="X22">
        <v>0</v>
      </c>
      <c r="Y22">
        <v>0</v>
      </c>
      <c r="Z22">
        <v>4</v>
      </c>
    </row>
    <row r="23" spans="1:26" x14ac:dyDescent="0.25">
      <c r="A23">
        <v>7</v>
      </c>
      <c r="B23" t="str">
        <v>Eric-Jan</v>
      </c>
      <c r="C23" t="str">
        <v>Grondstra</v>
      </c>
      <c r="D23" t="str">
        <v>e.j.grondstra@gmail.com</v>
      </c>
      <c r="E23" t="str">
        <v>+31621504255</v>
      </c>
      <c r="F23">
        <v>0</v>
      </c>
      <c r="G23" t="str">
        <v>The Netherlands</v>
      </c>
      <c r="H23" t="str">
        <v>Scouting Nederland</v>
      </c>
      <c r="I23" t="str">
        <v>Scouting Polaris</v>
      </c>
      <c r="J23">
        <v>129776</v>
      </c>
      <c r="K23" t="str">
        <v>Heereveen</v>
      </c>
      <c r="L23">
        <v>19</v>
      </c>
      <c r="M23">
        <v>5</v>
      </c>
      <c r="N23" t="str">
        <v>Friday</v>
      </c>
      <c r="O23" t="str">
        <v>12:00 - 15:00</v>
      </c>
      <c r="P23" t="str">
        <v>Monday</v>
      </c>
      <c r="Q23" t="str">
        <v>12:00 - 15:00</v>
      </c>
      <c r="R23">
        <v>0</v>
      </c>
      <c r="S23" t="str">
        <v>IST-19148</v>
      </c>
      <c r="T23">
        <v>600</v>
      </c>
      <c r="U23" t="str">
        <v>Mollie</v>
      </c>
      <c r="V23" t="str">
        <v>2024-11-30 19:42:53</v>
      </c>
      <c r="W23">
        <v>1732995773</v>
      </c>
      <c r="X23">
        <v>0</v>
      </c>
      <c r="Y23">
        <v>0</v>
      </c>
      <c r="Z23">
        <v>4</v>
      </c>
    </row>
    <row r="24" spans="1:26" x14ac:dyDescent="0.25">
      <c r="A24">
        <v>48</v>
      </c>
      <c r="B24" t="str">
        <v>Erik</v>
      </c>
      <c r="C24" t="str">
        <v>Iliff</v>
      </c>
      <c r="D24" t="str">
        <v>iliffe410@gmail.com</v>
      </c>
      <c r="E24" t="str">
        <v>+31621692799</v>
      </c>
      <c r="F24">
        <v>0</v>
      </c>
      <c r="G24" t="str">
        <v>United States</v>
      </c>
      <c r="H24" t="str">
        <v>Boy Scouts of America - Transatlantic Council</v>
      </c>
      <c r="I24" t="str">
        <v>Troop 100</v>
      </c>
      <c r="J24">
        <v>100</v>
      </c>
      <c r="K24" t="str">
        <v>Brunssum</v>
      </c>
      <c r="L24">
        <v>1</v>
      </c>
      <c r="M24">
        <v>1</v>
      </c>
      <c r="N24" t="str">
        <v>Friday</v>
      </c>
      <c r="O24" t="str">
        <v>18:00 - 21:00</v>
      </c>
      <c r="P24" t="str">
        <v>Monday</v>
      </c>
      <c r="Q24" t="str">
        <v>09:00 - 12:00</v>
      </c>
      <c r="R24">
        <v>0</v>
      </c>
      <c r="S24" t="str">
        <v>IST-13942</v>
      </c>
      <c r="T24">
        <v>75</v>
      </c>
      <c r="U24" t="str">
        <v>Mollie</v>
      </c>
      <c r="V24" t="str">
        <v>2024-12-07 21:02:55</v>
      </c>
      <c r="W24">
        <v>1733605375</v>
      </c>
      <c r="X24">
        <v>0</v>
      </c>
      <c r="Y24">
        <v>0</v>
      </c>
      <c r="Z24">
        <v>4</v>
      </c>
    </row>
    <row r="25" spans="1:26" x14ac:dyDescent="0.25">
      <c r="A25">
        <v>68</v>
      </c>
      <c r="B25" t="str">
        <v>Roberto</v>
      </c>
      <c r="C25" t="str">
        <v>Baltazar</v>
      </c>
      <c r="D25" t="str">
        <v>bltzrr@gmail.com</v>
      </c>
      <c r="E25" t="str">
        <v>+4915117534988</v>
      </c>
      <c r="F25">
        <v>0</v>
      </c>
      <c r="G25" t="str">
        <v>United States</v>
      </c>
      <c r="H25" t="str">
        <v>Boy Scouts of America - Transatlantic Council</v>
      </c>
      <c r="I25" t="str">
        <v>Atomic Tacos</v>
      </c>
      <c r="J25" t="str">
        <v>156 Ramstien</v>
      </c>
      <c r="K25" t="str">
        <v>Ramstein Air Base</v>
      </c>
      <c r="L25">
        <v>20</v>
      </c>
      <c r="M25">
        <v>8</v>
      </c>
      <c r="N25" t="str">
        <v>Friday</v>
      </c>
      <c r="O25" t="str">
        <v>18:00 - 21:00</v>
      </c>
      <c r="P25" t="str">
        <v>Monday</v>
      </c>
      <c r="Q25" t="str">
        <v>09:00 - 12:00</v>
      </c>
      <c r="R25">
        <v>0</v>
      </c>
      <c r="S25" t="str">
        <v>IST-12821</v>
      </c>
      <c r="T25">
        <v>700</v>
      </c>
      <c r="U25" t="str">
        <v>Mollie</v>
      </c>
      <c r="V25" t="str">
        <v>2025-01-24 13:58:18</v>
      </c>
      <c r="W25">
        <v>1737727098</v>
      </c>
      <c r="X25">
        <v>0</v>
      </c>
      <c r="Y25">
        <v>0</v>
      </c>
      <c r="Z25">
        <v>4</v>
      </c>
    </row>
    <row r="26" spans="1:26" x14ac:dyDescent="0.25">
      <c r="A26">
        <v>69</v>
      </c>
      <c r="B26" t="str">
        <v>Amy</v>
      </c>
      <c r="C26" t="str">
        <v>Hielen</v>
      </c>
      <c r="D26" t="str">
        <v>amyhielen@gmail.com</v>
      </c>
      <c r="E26" t="str">
        <v>+491607073891</v>
      </c>
      <c r="F26">
        <v>0</v>
      </c>
      <c r="G26" t="str">
        <v>United States</v>
      </c>
      <c r="H26" t="str">
        <v>Boy Scouts of America - Transatlantic Council</v>
      </c>
      <c r="I26" t="str">
        <v>Troop</v>
      </c>
      <c r="J26" t="str">
        <v>43 and 86</v>
      </c>
      <c r="K26" t="str">
        <v>Oberusal</v>
      </c>
      <c r="L26">
        <v>5</v>
      </c>
      <c r="M26">
        <v>4</v>
      </c>
      <c r="N26" t="str">
        <v>Friday</v>
      </c>
      <c r="O26" t="str">
        <v>18:00 - 21:00</v>
      </c>
      <c r="P26" t="str">
        <v>Monday</v>
      </c>
      <c r="Q26" t="str">
        <v>09:00 - 12:00</v>
      </c>
      <c r="R26" t="str">
        <v>We may want to add more kids to the registration.</v>
      </c>
      <c r="S26" t="str">
        <v>IST-14176</v>
      </c>
      <c r="T26">
        <v>225</v>
      </c>
      <c r="U26" t="str">
        <v>Mollie</v>
      </c>
      <c r="V26" t="str">
        <v>2025-01-25 14:54:13</v>
      </c>
      <c r="W26">
        <v>1737816854</v>
      </c>
      <c r="X26">
        <v>0</v>
      </c>
      <c r="Y26" t="str">
        <v>Requested to register additional participants</v>
      </c>
      <c r="Z26">
        <v>4</v>
      </c>
    </row>
    <row r="27" spans="1:26" x14ac:dyDescent="0.25">
      <c r="A27">
        <v>74</v>
      </c>
      <c r="B27" t="str">
        <v>Patrick</v>
      </c>
      <c r="C27" t="str">
        <v>Stevens</v>
      </c>
      <c r="D27" t="str">
        <v>pmstevensv@icloud.com</v>
      </c>
      <c r="E27" t="str">
        <v>+31625066599</v>
      </c>
      <c r="F27">
        <v>0</v>
      </c>
      <c r="G27" t="str">
        <v>United States</v>
      </c>
      <c r="H27" t="str">
        <v>Boy Scouts of America - Transatlantic Council</v>
      </c>
      <c r="I27" t="str">
        <v>Troop 100</v>
      </c>
      <c r="J27">
        <v>100</v>
      </c>
      <c r="K27" t="str">
        <v>Brunssum</v>
      </c>
      <c r="L27">
        <v>17</v>
      </c>
      <c r="M27">
        <v>7</v>
      </c>
      <c r="N27" t="str">
        <v>Friday</v>
      </c>
      <c r="O27" t="str">
        <v>18:00 - 21:00</v>
      </c>
      <c r="P27" t="str">
        <v>Monday</v>
      </c>
      <c r="Q27" t="str">
        <v>09:00 - 12:00</v>
      </c>
      <c r="R27" t="str">
        <v>Our troop signup consists of both a boys’ troop and a girls’ troop (Troop 100B and Troop 100G), requiring at least one registered female leader to be present at all times per BSA Youth Protection policies. With only two female leaders available, additional adult coverage is necessary to ensure compliance while allowing for flexibility in activities. With 17 scouts attending, the standard 1:5 ratio would suggest a minimum of four leaders, but this does not account for the logistical complexities of managing both the boys’ and girls’ troops. Also, transportation logistics necessitate additional adults, requiring more leaders to transport all participants to and from the campout.</v>
      </c>
      <c r="S27" t="str">
        <v>IST-16807</v>
      </c>
      <c r="T27">
        <v>600</v>
      </c>
      <c r="U27" t="str">
        <v>Mollie</v>
      </c>
      <c r="V27" t="str">
        <v>2025-01-30 18:15:03</v>
      </c>
      <c r="W27">
        <v>1738260903</v>
      </c>
      <c r="X27">
        <v>0</v>
      </c>
      <c r="Y27">
        <v>0</v>
      </c>
      <c r="Z27">
        <v>4</v>
      </c>
    </row>
    <row r="35" spans="12:14" x14ac:dyDescent="0.25">
      <c r="L35">
        <f>SUM(L2:L28)</f>
        <v>311</v>
      </c>
      <c r="M35">
        <f>SUM(M2:M28)</f>
        <v>75</v>
      </c>
      <c r="N35">
        <f>L35+M35</f>
        <v>386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C4F7-C893-A849-8810-63F681D786E6}">
  <dimension ref="A1:C9"/>
  <sheetViews>
    <sheetView workbookViewId="0">
      <selection sqref="A1:B7"/>
    </sheetView>
  </sheetViews>
  <sheetFormatPr defaultColWidth="11.42578125" defaultRowHeight="15" x14ac:dyDescent="0.25"/>
  <sheetData>
    <row r="1" spans="1:3" x14ac:dyDescent="0.25">
      <c r="A1" s="32">
        <v>8</v>
      </c>
      <c r="B1" s="32">
        <v>1</v>
      </c>
    </row>
    <row r="2" spans="1:3" x14ac:dyDescent="0.25">
      <c r="A2" s="2">
        <v>7</v>
      </c>
      <c r="B2" s="2">
        <v>1</v>
      </c>
    </row>
    <row r="3" spans="1:3" x14ac:dyDescent="0.25">
      <c r="A3" s="2">
        <v>16</v>
      </c>
      <c r="B3" s="2">
        <v>1</v>
      </c>
    </row>
    <row r="4" spans="1:3" x14ac:dyDescent="0.25">
      <c r="A4" s="2">
        <v>8</v>
      </c>
      <c r="B4" s="2">
        <v>2</v>
      </c>
    </row>
    <row r="5" spans="1:3" x14ac:dyDescent="0.25">
      <c r="A5" s="2">
        <v>8</v>
      </c>
      <c r="B5" s="2">
        <v>1</v>
      </c>
    </row>
    <row r="6" spans="1:3" x14ac:dyDescent="0.25">
      <c r="A6" s="32">
        <v>7</v>
      </c>
      <c r="B6" s="32">
        <v>2</v>
      </c>
    </row>
    <row r="7" spans="1:3" x14ac:dyDescent="0.25">
      <c r="A7" s="2">
        <v>13</v>
      </c>
      <c r="B7" s="2">
        <v>1</v>
      </c>
    </row>
    <row r="9" spans="1:3" x14ac:dyDescent="0.25">
      <c r="A9" s="2">
        <f>SUM(A1:A7)</f>
        <v>67</v>
      </c>
      <c r="B9" s="2">
        <f>SUM(B1:B7)</f>
        <v>9</v>
      </c>
      <c r="C9" s="2">
        <f>SUM(A9:B9)</f>
        <v>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C08C-3802-47EF-8AD5-5389B62D647E}">
  <dimension ref="B3:N20"/>
  <sheetViews>
    <sheetView zoomScale="119" workbookViewId="0">
      <selection activeCell="G20" sqref="G20"/>
    </sheetView>
  </sheetViews>
  <sheetFormatPr defaultColWidth="8.85546875" defaultRowHeight="15" x14ac:dyDescent="0.25"/>
  <cols>
    <col min="2" max="2" width="14.42578125" bestFit="1" customWidth="1"/>
    <col min="3" max="3" width="24.42578125" bestFit="1" customWidth="1"/>
    <col min="4" max="4" width="24.140625" bestFit="1" customWidth="1"/>
    <col min="5" max="5" width="24.140625" customWidth="1"/>
  </cols>
  <sheetData>
    <row r="3" spans="2:14" x14ac:dyDescent="0.25">
      <c r="B3" s="13" t="s">
        <v>1159</v>
      </c>
      <c r="C3" t="s">
        <v>1161</v>
      </c>
      <c r="D3" t="s">
        <v>1162</v>
      </c>
      <c r="E3" s="4" t="s">
        <v>1179</v>
      </c>
      <c r="F3" s="4" t="s">
        <v>1180</v>
      </c>
      <c r="G3" t="s">
        <v>1163</v>
      </c>
      <c r="H3" t="s">
        <v>1164</v>
      </c>
      <c r="J3" t="s">
        <v>1165</v>
      </c>
    </row>
    <row r="4" spans="2:14" x14ac:dyDescent="0.25">
      <c r="B4" s="14" t="s">
        <v>284</v>
      </c>
      <c r="C4">
        <v>27</v>
      </c>
      <c r="D4">
        <v>8</v>
      </c>
      <c r="E4">
        <f>SUMIF('All Subcamps'!$G:$G,' Nations'!$B4,'All Subcamps'!$L:$L)</f>
        <v>27</v>
      </c>
      <c r="F4">
        <f>SUMIF('All Subcamps'!$G:$G,' Nations'!$B4,'All Subcamps'!$M:$M)</f>
        <v>8</v>
      </c>
      <c r="G4">
        <f>SUM(E4:F4)</f>
        <v>35</v>
      </c>
      <c r="H4">
        <v>40</v>
      </c>
      <c r="J4">
        <f>H4-G4</f>
        <v>5</v>
      </c>
      <c r="L4">
        <f>G4/4</f>
        <v>8.75</v>
      </c>
      <c r="N4" s="4"/>
    </row>
    <row r="5" spans="2:14" x14ac:dyDescent="0.25">
      <c r="B5" s="14" t="s">
        <v>527</v>
      </c>
      <c r="C5">
        <v>400</v>
      </c>
      <c r="D5">
        <v>80</v>
      </c>
      <c r="E5">
        <f>SUMIF('All Subcamps'!$G:$G,' Nations'!$B5,'All Subcamps'!$L:$L)</f>
        <v>400</v>
      </c>
      <c r="F5">
        <f>SUMIF('All Subcamps'!$G:$G,' Nations'!$B5,'All Subcamps'!$M:$M)</f>
        <v>80</v>
      </c>
      <c r="G5">
        <f t="shared" ref="G5:G11" si="0">SUM(E5:F5)</f>
        <v>480</v>
      </c>
      <c r="H5">
        <v>480</v>
      </c>
      <c r="J5">
        <f t="shared" ref="J5:J11" si="1">H5-G5</f>
        <v>0</v>
      </c>
      <c r="L5">
        <f t="shared" ref="L5:L12" si="2">G5/4</f>
        <v>120</v>
      </c>
    </row>
    <row r="6" spans="2:14" x14ac:dyDescent="0.25">
      <c r="B6" s="14" t="s">
        <v>397</v>
      </c>
      <c r="C6">
        <v>32</v>
      </c>
      <c r="D6">
        <v>8</v>
      </c>
      <c r="E6">
        <f>SUMIF('All Subcamps'!$G:$G,' Nations'!$B6,'All Subcamps'!$L:$L)</f>
        <v>21</v>
      </c>
      <c r="F6">
        <f>SUMIF('All Subcamps'!$G:$G,' Nations'!$B6,'All Subcamps'!$M:$M)</f>
        <v>4</v>
      </c>
      <c r="G6">
        <f t="shared" si="0"/>
        <v>25</v>
      </c>
      <c r="H6">
        <v>40</v>
      </c>
      <c r="J6">
        <f t="shared" si="1"/>
        <v>15</v>
      </c>
      <c r="L6">
        <f t="shared" si="2"/>
        <v>6.25</v>
      </c>
      <c r="N6" s="4"/>
    </row>
    <row r="7" spans="2:14" x14ac:dyDescent="0.25">
      <c r="B7" s="14" t="s">
        <v>182</v>
      </c>
      <c r="C7">
        <v>373</v>
      </c>
      <c r="D7">
        <v>87</v>
      </c>
      <c r="E7">
        <f>SUMIF('All Subcamps'!$G:$G,' Nations'!$B7,'All Subcamps'!$L:$L)</f>
        <v>376</v>
      </c>
      <c r="F7">
        <f>SUMIF('All Subcamps'!$G:$G,' Nations'!$B7,'All Subcamps'!$M:$M)</f>
        <v>87</v>
      </c>
      <c r="G7">
        <f t="shared" si="0"/>
        <v>463</v>
      </c>
      <c r="H7">
        <v>480</v>
      </c>
      <c r="J7">
        <f t="shared" si="1"/>
        <v>17</v>
      </c>
      <c r="L7">
        <f t="shared" si="2"/>
        <v>115.75</v>
      </c>
    </row>
    <row r="8" spans="2:14" x14ac:dyDescent="0.25">
      <c r="B8" s="14" t="s">
        <v>152</v>
      </c>
      <c r="C8">
        <v>125</v>
      </c>
      <c r="D8">
        <v>30</v>
      </c>
      <c r="E8">
        <f>SUMIF('All Subcamps'!$G:$G,' Nations'!$B8,'All Subcamps'!$L:$L)</f>
        <v>0</v>
      </c>
      <c r="F8">
        <f>SUMIF('All Subcamps'!$G:$G,' Nations'!$B8,'All Subcamps'!$M:$M)</f>
        <v>0</v>
      </c>
      <c r="G8">
        <f t="shared" si="0"/>
        <v>0</v>
      </c>
      <c r="H8">
        <v>100</v>
      </c>
      <c r="J8">
        <f t="shared" si="1"/>
        <v>100</v>
      </c>
      <c r="L8">
        <f t="shared" si="2"/>
        <v>0</v>
      </c>
    </row>
    <row r="9" spans="2:14" x14ac:dyDescent="0.25">
      <c r="B9" s="14" t="s">
        <v>732</v>
      </c>
      <c r="C9">
        <v>396</v>
      </c>
      <c r="D9">
        <v>62</v>
      </c>
      <c r="E9">
        <f>SUMIF('All Subcamps'!$G:$G,' Nations'!$B9,'All Subcamps'!$L:$L)</f>
        <v>396</v>
      </c>
      <c r="F9">
        <f>SUMIF('All Subcamps'!$G:$G,' Nations'!$B9,'All Subcamps'!$M:$M)</f>
        <v>62</v>
      </c>
      <c r="G9">
        <f t="shared" si="0"/>
        <v>458</v>
      </c>
      <c r="H9">
        <v>480</v>
      </c>
      <c r="J9">
        <f t="shared" si="1"/>
        <v>22</v>
      </c>
      <c r="L9">
        <f t="shared" si="2"/>
        <v>114.5</v>
      </c>
    </row>
    <row r="10" spans="2:14" x14ac:dyDescent="0.25">
      <c r="B10" s="14" t="s">
        <v>28</v>
      </c>
      <c r="C10">
        <v>377</v>
      </c>
      <c r="D10">
        <v>83</v>
      </c>
      <c r="E10">
        <f>SUMIF('All Subcamps'!$G:$G,' Nations'!$B10,'All Subcamps'!$L:$L)</f>
        <v>377</v>
      </c>
      <c r="F10">
        <f>SUMIF('All Subcamps'!$G:$G,' Nations'!$B10,'All Subcamps'!$M:$M)</f>
        <v>83</v>
      </c>
      <c r="G10">
        <f t="shared" si="0"/>
        <v>460</v>
      </c>
      <c r="H10">
        <v>480</v>
      </c>
      <c r="J10">
        <f t="shared" si="1"/>
        <v>20</v>
      </c>
      <c r="L10">
        <f t="shared" si="2"/>
        <v>115</v>
      </c>
    </row>
    <row r="11" spans="2:14" x14ac:dyDescent="0.25">
      <c r="B11" s="14" t="s">
        <v>255</v>
      </c>
      <c r="C11">
        <v>290</v>
      </c>
      <c r="D11">
        <v>88</v>
      </c>
      <c r="E11">
        <f>SUMIF('All Subcamps'!$G:$G,' Nations'!$B11,'All Subcamps'!$L:$L)</f>
        <v>280</v>
      </c>
      <c r="F11">
        <f>SUMIF('All Subcamps'!$G:$G,' Nations'!$B11,'All Subcamps'!$M:$M)</f>
        <v>85</v>
      </c>
      <c r="G11">
        <f t="shared" si="0"/>
        <v>365</v>
      </c>
      <c r="H11">
        <v>450</v>
      </c>
      <c r="J11">
        <f t="shared" si="1"/>
        <v>85</v>
      </c>
      <c r="L11">
        <f t="shared" si="2"/>
        <v>91.25</v>
      </c>
    </row>
    <row r="12" spans="2:14" x14ac:dyDescent="0.25">
      <c r="B12" s="14" t="s">
        <v>1160</v>
      </c>
      <c r="C12">
        <v>2020</v>
      </c>
      <c r="D12">
        <v>446</v>
      </c>
      <c r="G12" s="15"/>
      <c r="H12" s="15">
        <f t="shared" ref="H12" si="3">SUM(H4:H11)</f>
        <v>2550</v>
      </c>
      <c r="J12" s="15">
        <f>SUM(J4:J11)</f>
        <v>264</v>
      </c>
      <c r="L12">
        <f t="shared" si="2"/>
        <v>0</v>
      </c>
    </row>
    <row r="13" spans="2:14" x14ac:dyDescent="0.25">
      <c r="J13">
        <f>J12*25</f>
        <v>6600</v>
      </c>
    </row>
    <row r="14" spans="2:14" x14ac:dyDescent="0.25">
      <c r="B14" s="62" t="s">
        <v>1171</v>
      </c>
      <c r="E14">
        <f>SUMIF('All Subcamps'!$G:$G,' Nations'!$B14,'All Subcamps'!$L:$L)</f>
        <v>63</v>
      </c>
      <c r="F14">
        <f>SUMIF('All Subcamps'!$G:$G,' Nations'!$B14,'All Subcamps'!$M:$M)</f>
        <v>17</v>
      </c>
      <c r="G14">
        <f>SUM(E14:F14)</f>
        <v>80</v>
      </c>
      <c r="L14">
        <f>G14/4</f>
        <v>20</v>
      </c>
    </row>
    <row r="15" spans="2:14" x14ac:dyDescent="0.25">
      <c r="B15" s="14" t="s">
        <v>154</v>
      </c>
      <c r="E15">
        <f>SUMIF('All Subcamps'!$G:$G,' Nations'!$B15,'All Subcamps'!$L:$L)</f>
        <v>30</v>
      </c>
      <c r="F15">
        <f>SUMIF('All Subcamps'!$G:$G,' Nations'!$B15,'All Subcamps'!$M:$M)</f>
        <v>5</v>
      </c>
      <c r="G15">
        <f t="shared" ref="G15:G17" si="4">SUM(E15:F15)</f>
        <v>35</v>
      </c>
      <c r="L15">
        <f t="shared" ref="L15:L17" si="5">G15/4</f>
        <v>8.75</v>
      </c>
    </row>
    <row r="16" spans="2:14" x14ac:dyDescent="0.25">
      <c r="B16" s="14" t="s">
        <v>1173</v>
      </c>
      <c r="E16">
        <f>SUMIF('All Subcamps'!$G:$G,' Nations'!$B16,'All Subcamps'!$L:$L)</f>
        <v>12</v>
      </c>
      <c r="F16">
        <f>SUMIF('All Subcamps'!$G:$G,' Nations'!$B16,'All Subcamps'!$M:$M)</f>
        <v>5</v>
      </c>
      <c r="G16">
        <f t="shared" si="4"/>
        <v>17</v>
      </c>
      <c r="L16">
        <f t="shared" si="5"/>
        <v>4.25</v>
      </c>
    </row>
    <row r="17" spans="2:12" x14ac:dyDescent="0.25">
      <c r="B17" s="14" t="s">
        <v>1172</v>
      </c>
      <c r="E17">
        <f>SUMIF('All Subcamps'!$G:$G,' Nations'!$B17,'All Subcamps'!$L:$L)</f>
        <v>7</v>
      </c>
      <c r="F17">
        <f>SUMIF('All Subcamps'!$G:$G,' Nations'!$B17,'All Subcamps'!$M:$M)</f>
        <v>2</v>
      </c>
      <c r="G17">
        <f t="shared" si="4"/>
        <v>9</v>
      </c>
      <c r="L17">
        <f t="shared" si="5"/>
        <v>2.25</v>
      </c>
    </row>
    <row r="20" spans="2:12" x14ac:dyDescent="0.25">
      <c r="E20">
        <f>SUM(E4:E17)</f>
        <v>1989</v>
      </c>
      <c r="F20">
        <f>SUM(F4:F17)</f>
        <v>438</v>
      </c>
      <c r="G20">
        <f>SUM(G4:G17)</f>
        <v>2427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AE3CD-77C9-2945-ABA7-535ADEE0FC93}">
  <dimension ref="A2:E7"/>
  <sheetViews>
    <sheetView workbookViewId="0">
      <selection activeCell="F26" sqref="F26"/>
    </sheetView>
  </sheetViews>
  <sheetFormatPr defaultColWidth="11.42578125" defaultRowHeight="15" x14ac:dyDescent="0.25"/>
  <sheetData>
    <row r="2" spans="1:5" x14ac:dyDescent="0.25">
      <c r="A2" s="4" t="s">
        <v>1168</v>
      </c>
      <c r="B2" s="4" t="s">
        <v>1175</v>
      </c>
      <c r="C2" s="4" t="s">
        <v>1169</v>
      </c>
      <c r="D2" s="4" t="s">
        <v>1176</v>
      </c>
    </row>
    <row r="3" spans="1:5" x14ac:dyDescent="0.25">
      <c r="A3">
        <v>1</v>
      </c>
      <c r="B3">
        <v>4030</v>
      </c>
      <c r="C3">
        <f>B3/$C$7</f>
        <v>349.93953488372097</v>
      </c>
      <c r="D3">
        <f>'Subcamp 1'!N31</f>
        <v>358</v>
      </c>
    </row>
    <row r="4" spans="1:5" x14ac:dyDescent="0.25">
      <c r="A4">
        <v>2</v>
      </c>
      <c r="B4">
        <v>9680</v>
      </c>
      <c r="C4">
        <f t="shared" ref="C4:C6" si="0">B4/$C$7</f>
        <v>840.54955277280862</v>
      </c>
      <c r="D4">
        <f>'Subcamp 2'!N58</f>
        <v>837</v>
      </c>
    </row>
    <row r="5" spans="1:5" x14ac:dyDescent="0.25">
      <c r="A5">
        <v>3</v>
      </c>
      <c r="B5">
        <v>9880</v>
      </c>
      <c r="C5">
        <f t="shared" si="0"/>
        <v>857.91627906976748</v>
      </c>
      <c r="D5">
        <f>'Subcamp 3'!N59</f>
        <v>846</v>
      </c>
    </row>
    <row r="6" spans="1:5" x14ac:dyDescent="0.25">
      <c r="A6">
        <v>4</v>
      </c>
      <c r="B6">
        <v>4360</v>
      </c>
      <c r="C6">
        <f t="shared" si="0"/>
        <v>378.59463327370304</v>
      </c>
      <c r="D6">
        <f>'Subcamp 4'!N35</f>
        <v>386</v>
      </c>
    </row>
    <row r="7" spans="1:5" x14ac:dyDescent="0.25">
      <c r="B7">
        <f>SUM(B3:B6)</f>
        <v>27950</v>
      </c>
      <c r="C7">
        <f>B7/' Nations'!G20</f>
        <v>11.516275236918005</v>
      </c>
      <c r="D7">
        <f>SUM(D3:D6)</f>
        <v>2427</v>
      </c>
      <c r="E7">
        <f>SUM(C3:C6)</f>
        <v>2427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CE4DC228058D4BB8418AAE188F6316" ma:contentTypeVersion="12" ma:contentTypeDescription="Een nieuw document maken." ma:contentTypeScope="" ma:versionID="32ede35602aa4f7aafafc817389adc0d">
  <xsd:schema xmlns:xsd="http://www.w3.org/2001/XMLSchema" xmlns:xs="http://www.w3.org/2001/XMLSchema" xmlns:p="http://schemas.microsoft.com/office/2006/metadata/properties" xmlns:ns2="0797ad62-7129-4a57-9196-7a1f8db70c50" xmlns:ns3="7090afc4-818e-4fca-b9f6-fe0098714ff3" targetNamespace="http://schemas.microsoft.com/office/2006/metadata/properties" ma:root="true" ma:fieldsID="d284f4a5089df4b43a91c709808b1c67" ns2:_="" ns3:_="">
    <xsd:import namespace="0797ad62-7129-4a57-9196-7a1f8db70c50"/>
    <xsd:import namespace="7090afc4-818e-4fca-b9f6-fe0098714f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97ad62-7129-4a57-9196-7a1f8db70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27ceeaf6-f612-4342-ad9f-e672197f81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90afc4-818e-4fca-b9f6-fe0098714f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8e2edff-55a5-4469-93de-06598a875195}" ma:internalName="TaxCatchAll" ma:showField="CatchAllData" ma:web="7090afc4-818e-4fca-b9f6-fe0098714f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97ad62-7129-4a57-9196-7a1f8db70c50">
      <Terms xmlns="http://schemas.microsoft.com/office/infopath/2007/PartnerControls"/>
    </lcf76f155ced4ddcb4097134ff3c332f>
    <TaxCatchAll xmlns="7090afc4-818e-4fca-b9f6-fe0098714ff3" xsi:nil="true"/>
  </documentManagement>
</p:properties>
</file>

<file path=customXml/itemProps1.xml><?xml version="1.0" encoding="utf-8"?>
<ds:datastoreItem xmlns:ds="http://schemas.openxmlformats.org/officeDocument/2006/customXml" ds:itemID="{D8CEFED2-A838-42A1-B388-70608561B897}">
  <ds:schemaRefs>
    <ds:schemaRef ds:uri="http://schemas.microsoft.com/sharepoint/v3/contenttype/forms"/>
  </ds:schemaRefs>
</ds:datastoreItem>
</file>

<file path=customXml/itemProps2.xml><?xml version="1.0" encoding="utf-8"?>
<ds:datastoreItem xmlns:ds="http://schemas.openxmlformats.org/officeDocument/2006/customXml" ds:itemID="{9B77B090-CAC1-42B4-9B22-03D47918F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97ad62-7129-4a57-9196-7a1f8db70c50"/>
    <ds:schemaRef ds:uri="7090afc4-818e-4fca-b9f6-fe0098714f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C67141-7696-4699-B6B3-1F6FD8591743}">
  <ds:schemaRefs>
    <ds:schemaRef ds:uri="http://schemas.microsoft.com/office/2006/metadata/properties"/>
    <ds:schemaRef ds:uri="http://schemas.microsoft.com/office/infopath/2007/PartnerControls"/>
    <ds:schemaRef ds:uri="0797ad62-7129-4a57-9196-7a1f8db70c50"/>
    <ds:schemaRef ds:uri="7090afc4-818e-4fca-b9f6-fe0098714ff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8</vt:i4>
      </vt:variant>
    </vt:vector>
  </HeadingPairs>
  <TitlesOfParts>
    <vt:vector size="8" baseType="lpstr">
      <vt:lpstr>All Subcamps</vt:lpstr>
      <vt:lpstr>Subcamp 1</vt:lpstr>
      <vt:lpstr>Subcamp 2</vt:lpstr>
      <vt:lpstr>Subcamp 3</vt:lpstr>
      <vt:lpstr>Subcamp 4</vt:lpstr>
      <vt:lpstr>Sheet2</vt:lpstr>
      <vt:lpstr> Nations</vt:lpstr>
      <vt:lpstr>Subcamp calculation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dc:creator>
  <cp:keywords/>
  <dc:description/>
  <cp:lastModifiedBy>Granát Jiří</cp:lastModifiedBy>
  <cp:revision/>
  <dcterms:created xsi:type="dcterms:W3CDTF">2025-02-19T15:12:01Z</dcterms:created>
  <dcterms:modified xsi:type="dcterms:W3CDTF">2026-03-01T18:36:42Z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0x010100F5CE4DC228058D4BB8418AAE188F6316</vt:lpwstr>
  </property>
  <property fmtid="{D5CDD505-2E9C-101B-9397-08002B2CF9AE}" pid="3" name="MediaServiceImageTags">
    <vt:lpwstr/>
  </property>
</Properties>
</file>